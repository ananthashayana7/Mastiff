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rettlcloud-my.sharepoint.com/personal/archana_r_prettl_com/Documents/Desktop/"/>
    </mc:Choice>
  </mc:AlternateContent>
  <xr:revisionPtr revIDLastSave="0" documentId="8_{34CA8FCE-34FF-452D-94AB-2C12F92C89BC}" xr6:coauthVersionLast="47" xr6:coauthVersionMax="47" xr10:uidLastSave="{00000000-0000-0000-0000-000000000000}"/>
  <bookViews>
    <workbookView xWindow="-110" yWindow="-110" windowWidth="19420" windowHeight="10300" firstSheet="1" activeTab="1" xr2:uid="{43B41F73-4676-4EC9-BA3A-5B33F08610D5}"/>
  </bookViews>
  <sheets>
    <sheet name="Sheet1 (2)" sheetId="3" state="hidden" r:id="rId1"/>
    <sheet name="2025" sheetId="4" r:id="rId2"/>
    <sheet name="snap shot" sheetId="7" r:id="rId3"/>
    <sheet name="scrap sales" sheetId="6" state="hidden" r:id="rId4"/>
    <sheet name="Tally" sheetId="1" state="hidden" r:id="rId5"/>
    <sheet name="Sheet3" sheetId="5" state="hidden" r:id="rId6"/>
  </sheets>
  <definedNames>
    <definedName name="_xlnm._FilterDatabase" localSheetId="1" hidden="1">'2025'!$B$1:$B$307</definedName>
    <definedName name="_xlnm._FilterDatabase" localSheetId="4" hidden="1">Tally!$N$1:$N$343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9" i="4" l="1"/>
  <c r="N49" i="4"/>
  <c r="M49" i="4"/>
  <c r="L49" i="4"/>
  <c r="K49" i="4"/>
  <c r="J49" i="4"/>
  <c r="I49" i="4"/>
  <c r="H49" i="4"/>
  <c r="G49" i="4"/>
  <c r="F49" i="4"/>
  <c r="E49" i="4"/>
  <c r="D49" i="4"/>
  <c r="O286" i="4"/>
  <c r="N286" i="4"/>
  <c r="M286" i="4"/>
  <c r="L286" i="4"/>
  <c r="K286" i="4"/>
  <c r="J286" i="4"/>
  <c r="I286" i="4"/>
  <c r="H286" i="4"/>
  <c r="G286" i="4"/>
  <c r="F286" i="4"/>
  <c r="E286" i="4"/>
  <c r="O188" i="4"/>
  <c r="N188" i="4"/>
  <c r="M188" i="4"/>
  <c r="L188" i="4"/>
  <c r="K188" i="4"/>
  <c r="J188" i="4"/>
  <c r="I188" i="4"/>
  <c r="H188" i="4"/>
  <c r="G188" i="4"/>
  <c r="F188" i="4"/>
  <c r="E188" i="4"/>
  <c r="D188" i="4"/>
  <c r="O160" i="4"/>
  <c r="N160" i="4"/>
  <c r="M160" i="4"/>
  <c r="L160" i="4"/>
  <c r="K160" i="4"/>
  <c r="J160" i="4"/>
  <c r="I160" i="4"/>
  <c r="H160" i="4"/>
  <c r="G160" i="4"/>
  <c r="F160" i="4"/>
  <c r="E160" i="4"/>
  <c r="D160" i="4"/>
  <c r="O147" i="4"/>
  <c r="N147" i="4"/>
  <c r="M147" i="4"/>
  <c r="L147" i="4"/>
  <c r="K147" i="4"/>
  <c r="J147" i="4"/>
  <c r="I147" i="4"/>
  <c r="H147" i="4"/>
  <c r="G147" i="4"/>
  <c r="F147" i="4"/>
  <c r="E147" i="4"/>
  <c r="D32" i="4"/>
  <c r="O296" i="4"/>
  <c r="N296" i="4"/>
  <c r="M296" i="4"/>
  <c r="L296" i="4"/>
  <c r="K296" i="4"/>
  <c r="J296" i="4"/>
  <c r="I296" i="4"/>
  <c r="H296" i="4"/>
  <c r="G296" i="4"/>
  <c r="F296" i="4"/>
  <c r="E296" i="4"/>
  <c r="D296" i="4"/>
  <c r="D286" i="4"/>
  <c r="D147" i="4"/>
  <c r="O29" i="4"/>
  <c r="N29" i="4"/>
  <c r="M29" i="4"/>
  <c r="L29" i="4"/>
  <c r="K29" i="4"/>
  <c r="J29" i="4"/>
  <c r="I29" i="4"/>
  <c r="H29" i="4"/>
  <c r="H51" i="4" s="1"/>
  <c r="G28" i="4"/>
  <c r="G29" i="4" s="1"/>
  <c r="F28" i="4"/>
  <c r="F29" i="4" s="1"/>
  <c r="E28" i="4"/>
  <c r="E29" i="4" s="1"/>
  <c r="D28" i="4"/>
  <c r="D29" i="4" s="1"/>
  <c r="C28" i="4"/>
  <c r="G32" i="4"/>
  <c r="F32" i="4"/>
  <c r="E32" i="4"/>
  <c r="H32" i="4"/>
  <c r="F7" i="6"/>
  <c r="F6" i="6"/>
  <c r="F5" i="6"/>
  <c r="F4" i="6"/>
  <c r="F3" i="6"/>
  <c r="G51" i="4" l="1"/>
  <c r="E51" i="4"/>
  <c r="F51" i="4"/>
  <c r="D51" i="4"/>
  <c r="D290" i="4" s="1"/>
  <c r="H288" i="4"/>
  <c r="J288" i="4"/>
  <c r="N288" i="4"/>
  <c r="E288" i="4"/>
  <c r="E290" i="4" s="1"/>
  <c r="E298" i="4" s="1"/>
  <c r="F288" i="4"/>
  <c r="K288" i="4"/>
  <c r="M288" i="4"/>
  <c r="L288" i="4"/>
  <c r="O288" i="4"/>
  <c r="G288" i="4"/>
  <c r="D288" i="4"/>
  <c r="I288" i="4"/>
  <c r="E304" i="4" l="1"/>
  <c r="E307" i="4" s="1"/>
  <c r="F290" i="4"/>
  <c r="F298" i="4" s="1"/>
  <c r="G290" i="4"/>
  <c r="G298" i="4" s="1"/>
  <c r="D298" i="4"/>
  <c r="G304" i="4" l="1"/>
  <c r="G307" i="4" s="1"/>
  <c r="F304" i="4"/>
  <c r="F307" i="4" s="1"/>
  <c r="D304" i="4"/>
  <c r="D307" i="4" s="1"/>
  <c r="M32" i="4" l="1"/>
  <c r="M51" i="4" s="1"/>
  <c r="L32" i="4"/>
  <c r="L51" i="4" s="1"/>
  <c r="O32" i="4"/>
  <c r="O51" i="4" s="1"/>
  <c r="N32" i="4"/>
  <c r="N51" i="4" s="1"/>
  <c r="K32" i="4"/>
  <c r="K51" i="4" s="1"/>
  <c r="J32" i="4"/>
  <c r="J51" i="4" s="1"/>
  <c r="I32" i="4"/>
  <c r="I51" i="4" s="1"/>
  <c r="P40" i="1"/>
  <c r="A8" i="1" l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7" i="1"/>
  <c r="A6" i="1"/>
  <c r="A5" i="1"/>
  <c r="A4" i="1"/>
  <c r="N342" i="1"/>
  <c r="M337" i="1"/>
  <c r="L337" i="1"/>
  <c r="N336" i="1"/>
  <c r="N335" i="1"/>
  <c r="N334" i="1"/>
  <c r="N333" i="1"/>
  <c r="N332" i="1"/>
  <c r="N337" i="1" s="1"/>
  <c r="N329" i="1"/>
  <c r="N328" i="1"/>
  <c r="N330" i="1" s="1"/>
  <c r="N324" i="1"/>
  <c r="N323" i="1"/>
  <c r="N322" i="1"/>
  <c r="K342" i="1"/>
  <c r="J337" i="1"/>
  <c r="I337" i="1"/>
  <c r="K336" i="1"/>
  <c r="K335" i="1"/>
  <c r="K334" i="1"/>
  <c r="K333" i="1"/>
  <c r="K332" i="1"/>
  <c r="K329" i="1"/>
  <c r="K328" i="1"/>
  <c r="K330" i="1" s="1"/>
  <c r="K324" i="1"/>
  <c r="K323" i="1"/>
  <c r="K322" i="1"/>
  <c r="H342" i="1"/>
  <c r="G337" i="1"/>
  <c r="F337" i="1"/>
  <c r="H336" i="1"/>
  <c r="H335" i="1"/>
  <c r="H334" i="1"/>
  <c r="H333" i="1"/>
  <c r="H332" i="1"/>
  <c r="H337" i="1" s="1"/>
  <c r="H329" i="1"/>
  <c r="H328" i="1"/>
  <c r="H324" i="1"/>
  <c r="H323" i="1"/>
  <c r="H322" i="1"/>
  <c r="D337" i="1"/>
  <c r="C337" i="1"/>
  <c r="M315" i="1"/>
  <c r="L315" i="1"/>
  <c r="J315" i="1"/>
  <c r="I315" i="1"/>
  <c r="G315" i="1"/>
  <c r="F315" i="1"/>
  <c r="N314" i="1"/>
  <c r="N313" i="1"/>
  <c r="N312" i="1"/>
  <c r="N311" i="1"/>
  <c r="N310" i="1"/>
  <c r="N309" i="1"/>
  <c r="N308" i="1"/>
  <c r="N307" i="1"/>
  <c r="N306" i="1"/>
  <c r="N305" i="1"/>
  <c r="N304" i="1"/>
  <c r="N303" i="1"/>
  <c r="N302" i="1"/>
  <c r="N301" i="1"/>
  <c r="N300" i="1"/>
  <c r="N299" i="1"/>
  <c r="N298" i="1"/>
  <c r="N297" i="1"/>
  <c r="N296" i="1"/>
  <c r="N295" i="1"/>
  <c r="N294" i="1"/>
  <c r="N293" i="1"/>
  <c r="N292" i="1"/>
  <c r="N291" i="1"/>
  <c r="N290" i="1"/>
  <c r="N289" i="1"/>
  <c r="N288" i="1"/>
  <c r="N287" i="1"/>
  <c r="N286" i="1"/>
  <c r="N285" i="1"/>
  <c r="N284" i="1"/>
  <c r="N283" i="1"/>
  <c r="N282" i="1"/>
  <c r="N281" i="1"/>
  <c r="N280" i="1"/>
  <c r="N279" i="1"/>
  <c r="N278" i="1"/>
  <c r="N277" i="1"/>
  <c r="N276" i="1"/>
  <c r="N275" i="1"/>
  <c r="N274" i="1"/>
  <c r="N273" i="1"/>
  <c r="N272" i="1"/>
  <c r="N271" i="1"/>
  <c r="N270" i="1"/>
  <c r="N269" i="1"/>
  <c r="N268" i="1"/>
  <c r="N267" i="1"/>
  <c r="N266" i="1"/>
  <c r="N265" i="1"/>
  <c r="N264" i="1"/>
  <c r="N263" i="1"/>
  <c r="N262" i="1"/>
  <c r="N261" i="1"/>
  <c r="N260" i="1"/>
  <c r="N259" i="1"/>
  <c r="N258" i="1"/>
  <c r="N257" i="1"/>
  <c r="N256" i="1"/>
  <c r="N255" i="1"/>
  <c r="N254" i="1"/>
  <c r="N253" i="1"/>
  <c r="N252" i="1"/>
  <c r="N251" i="1"/>
  <c r="N250" i="1"/>
  <c r="N249" i="1"/>
  <c r="N248" i="1"/>
  <c r="N247" i="1"/>
  <c r="N246" i="1"/>
  <c r="N245" i="1"/>
  <c r="N244" i="1"/>
  <c r="N243" i="1"/>
  <c r="N242" i="1"/>
  <c r="N241" i="1"/>
  <c r="N240" i="1"/>
  <c r="N239" i="1"/>
  <c r="N238" i="1"/>
  <c r="N237" i="1"/>
  <c r="N236" i="1"/>
  <c r="N235" i="1"/>
  <c r="N234" i="1"/>
  <c r="N233" i="1"/>
  <c r="N232" i="1"/>
  <c r="N231" i="1"/>
  <c r="N230" i="1"/>
  <c r="N229" i="1"/>
  <c r="N228" i="1"/>
  <c r="N227" i="1"/>
  <c r="N226" i="1"/>
  <c r="N225" i="1"/>
  <c r="K314" i="1"/>
  <c r="K313" i="1"/>
  <c r="K312" i="1"/>
  <c r="K311" i="1"/>
  <c r="K310" i="1"/>
  <c r="K309" i="1"/>
  <c r="K308" i="1"/>
  <c r="K307" i="1"/>
  <c r="K306" i="1"/>
  <c r="K305" i="1"/>
  <c r="K304" i="1"/>
  <c r="K303" i="1"/>
  <c r="K302" i="1"/>
  <c r="K301" i="1"/>
  <c r="K300" i="1"/>
  <c r="K299" i="1"/>
  <c r="K298" i="1"/>
  <c r="K297" i="1"/>
  <c r="K296" i="1"/>
  <c r="K295" i="1"/>
  <c r="K294" i="1"/>
  <c r="K293" i="1"/>
  <c r="K292" i="1"/>
  <c r="K291" i="1"/>
  <c r="K290" i="1"/>
  <c r="K289" i="1"/>
  <c r="K288" i="1"/>
  <c r="K287" i="1"/>
  <c r="K286" i="1"/>
  <c r="K285" i="1"/>
  <c r="K284" i="1"/>
  <c r="K283" i="1"/>
  <c r="K282" i="1"/>
  <c r="K281" i="1"/>
  <c r="K280" i="1"/>
  <c r="K279" i="1"/>
  <c r="K278" i="1"/>
  <c r="K277" i="1"/>
  <c r="K276" i="1"/>
  <c r="K275" i="1"/>
  <c r="K274" i="1"/>
  <c r="K273" i="1"/>
  <c r="K272" i="1"/>
  <c r="K271" i="1"/>
  <c r="K270" i="1"/>
  <c r="K269" i="1"/>
  <c r="K268" i="1"/>
  <c r="K267" i="1"/>
  <c r="K266" i="1"/>
  <c r="K265" i="1"/>
  <c r="K264" i="1"/>
  <c r="K263" i="1"/>
  <c r="K262" i="1"/>
  <c r="K261" i="1"/>
  <c r="K260" i="1"/>
  <c r="K259" i="1"/>
  <c r="K258" i="1"/>
  <c r="K257" i="1"/>
  <c r="K256" i="1"/>
  <c r="K255" i="1"/>
  <c r="K254" i="1"/>
  <c r="K253" i="1"/>
  <c r="K252" i="1"/>
  <c r="K251" i="1"/>
  <c r="K250" i="1"/>
  <c r="K249" i="1"/>
  <c r="K248" i="1"/>
  <c r="K247" i="1"/>
  <c r="K246" i="1"/>
  <c r="K245" i="1"/>
  <c r="K244" i="1"/>
  <c r="K243" i="1"/>
  <c r="K242" i="1"/>
  <c r="K241" i="1"/>
  <c r="K240" i="1"/>
  <c r="K239" i="1"/>
  <c r="K238" i="1"/>
  <c r="K237" i="1"/>
  <c r="K236" i="1"/>
  <c r="K235" i="1"/>
  <c r="K234" i="1"/>
  <c r="K233" i="1"/>
  <c r="K232" i="1"/>
  <c r="K231" i="1"/>
  <c r="K230" i="1"/>
  <c r="K229" i="1"/>
  <c r="K228" i="1"/>
  <c r="K227" i="1"/>
  <c r="K226" i="1"/>
  <c r="K22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M223" i="1"/>
  <c r="L223" i="1"/>
  <c r="J223" i="1"/>
  <c r="I223" i="1"/>
  <c r="G223" i="1"/>
  <c r="F223" i="1"/>
  <c r="N222" i="1"/>
  <c r="N221" i="1"/>
  <c r="N220" i="1"/>
  <c r="N219" i="1"/>
  <c r="N218" i="1"/>
  <c r="N217" i="1"/>
  <c r="N216" i="1"/>
  <c r="N215" i="1"/>
  <c r="N214" i="1"/>
  <c r="N213" i="1"/>
  <c r="N212" i="1"/>
  <c r="N211" i="1"/>
  <c r="N210" i="1"/>
  <c r="N209" i="1"/>
  <c r="N208" i="1"/>
  <c r="N207" i="1"/>
  <c r="N206" i="1"/>
  <c r="N205" i="1"/>
  <c r="N204" i="1"/>
  <c r="N203" i="1"/>
  <c r="N202" i="1"/>
  <c r="N201" i="1"/>
  <c r="N200" i="1"/>
  <c r="N199" i="1"/>
  <c r="N198" i="1"/>
  <c r="N197" i="1"/>
  <c r="N196" i="1"/>
  <c r="N195" i="1"/>
  <c r="N194" i="1"/>
  <c r="N193" i="1"/>
  <c r="K222" i="1"/>
  <c r="K221" i="1"/>
  <c r="K220" i="1"/>
  <c r="K219" i="1"/>
  <c r="K218" i="1"/>
  <c r="K217" i="1"/>
  <c r="K216" i="1"/>
  <c r="K215" i="1"/>
  <c r="K214" i="1"/>
  <c r="K213" i="1"/>
  <c r="K212" i="1"/>
  <c r="K211" i="1"/>
  <c r="K210" i="1"/>
  <c r="K209" i="1"/>
  <c r="K208" i="1"/>
  <c r="K207" i="1"/>
  <c r="K206" i="1"/>
  <c r="K205" i="1"/>
  <c r="K204" i="1"/>
  <c r="K203" i="1"/>
  <c r="K202" i="1"/>
  <c r="K201" i="1"/>
  <c r="K200" i="1"/>
  <c r="K199" i="1"/>
  <c r="K198" i="1"/>
  <c r="K197" i="1"/>
  <c r="K196" i="1"/>
  <c r="K195" i="1"/>
  <c r="K194" i="1"/>
  <c r="K19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N190" i="1"/>
  <c r="N189" i="1"/>
  <c r="N188" i="1"/>
  <c r="N187" i="1"/>
  <c r="N186" i="1"/>
  <c r="N185" i="1"/>
  <c r="N184" i="1"/>
  <c r="K190" i="1"/>
  <c r="K189" i="1"/>
  <c r="K188" i="1"/>
  <c r="K187" i="1"/>
  <c r="K186" i="1"/>
  <c r="K185" i="1"/>
  <c r="K184" i="1"/>
  <c r="H190" i="1"/>
  <c r="H189" i="1"/>
  <c r="H188" i="1"/>
  <c r="H187" i="1"/>
  <c r="H186" i="1"/>
  <c r="H185" i="1"/>
  <c r="H184" i="1"/>
  <c r="M191" i="1"/>
  <c r="L191" i="1"/>
  <c r="J191" i="1"/>
  <c r="I191" i="1"/>
  <c r="G191" i="1"/>
  <c r="F191" i="1"/>
  <c r="M182" i="1"/>
  <c r="L182" i="1"/>
  <c r="J182" i="1"/>
  <c r="I182" i="1"/>
  <c r="G182" i="1"/>
  <c r="F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165" i="1"/>
  <c r="N164" i="1"/>
  <c r="N163" i="1"/>
  <c r="N162" i="1"/>
  <c r="N161" i="1"/>
  <c r="N160" i="1"/>
  <c r="N159" i="1"/>
  <c r="N158" i="1"/>
  <c r="N157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42" i="1"/>
  <c r="N141" i="1"/>
  <c r="N140" i="1"/>
  <c r="N139" i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17" i="1"/>
  <c r="N116" i="1"/>
  <c r="N115" i="1"/>
  <c r="N114" i="1"/>
  <c r="N113" i="1"/>
  <c r="N112" i="1"/>
  <c r="N111" i="1"/>
  <c r="N110" i="1"/>
  <c r="N109" i="1"/>
  <c r="N108" i="1"/>
  <c r="N107" i="1"/>
  <c r="N106" i="1"/>
  <c r="N105" i="1"/>
  <c r="N104" i="1"/>
  <c r="N103" i="1"/>
  <c r="N102" i="1"/>
  <c r="N101" i="1"/>
  <c r="N100" i="1"/>
  <c r="N99" i="1"/>
  <c r="N98" i="1"/>
  <c r="N97" i="1"/>
  <c r="N96" i="1"/>
  <c r="N95" i="1"/>
  <c r="N94" i="1"/>
  <c r="N93" i="1"/>
  <c r="N92" i="1"/>
  <c r="N91" i="1"/>
  <c r="N90" i="1"/>
  <c r="N89" i="1"/>
  <c r="K181" i="1"/>
  <c r="K180" i="1"/>
  <c r="K179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N68" i="1"/>
  <c r="N67" i="1"/>
  <c r="N66" i="1"/>
  <c r="N65" i="1"/>
  <c r="N64" i="1"/>
  <c r="N63" i="1"/>
  <c r="N62" i="1"/>
  <c r="N61" i="1"/>
  <c r="N60" i="1"/>
  <c r="N59" i="1"/>
  <c r="K68" i="1"/>
  <c r="K67" i="1"/>
  <c r="K66" i="1"/>
  <c r="K65" i="1"/>
  <c r="K64" i="1"/>
  <c r="K63" i="1"/>
  <c r="K62" i="1"/>
  <c r="K61" i="1"/>
  <c r="K60" i="1"/>
  <c r="K59" i="1"/>
  <c r="J69" i="1"/>
  <c r="G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C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M40" i="1"/>
  <c r="L40" i="1" a="1"/>
  <c r="L40" i="1" s="1"/>
  <c r="J40" i="1"/>
  <c r="I40" i="1" a="1"/>
  <c r="I40" i="1" s="1"/>
  <c r="G40" i="1"/>
  <c r="F40" i="1" a="1"/>
  <c r="F40" i="1" s="1"/>
  <c r="E4" i="1"/>
  <c r="E342" i="1"/>
  <c r="E336" i="1"/>
  <c r="E335" i="1"/>
  <c r="E334" i="1"/>
  <c r="E333" i="1"/>
  <c r="E332" i="1"/>
  <c r="E329" i="1"/>
  <c r="E328" i="1"/>
  <c r="E330" i="1" s="1"/>
  <c r="E324" i="1"/>
  <c r="E323" i="1"/>
  <c r="E322" i="1"/>
  <c r="D315" i="1"/>
  <c r="C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D223" i="1"/>
  <c r="C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D191" i="1"/>
  <c r="C191" i="1"/>
  <c r="E190" i="1"/>
  <c r="E189" i="1"/>
  <c r="E188" i="1"/>
  <c r="E187" i="1"/>
  <c r="E186" i="1"/>
  <c r="E185" i="1"/>
  <c r="E184" i="1"/>
  <c r="D182" i="1"/>
  <c r="C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D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3" i="1"/>
  <c r="H330" i="1" l="1"/>
  <c r="N191" i="1"/>
  <c r="K69" i="1"/>
  <c r="E337" i="1"/>
  <c r="K223" i="1"/>
  <c r="K191" i="1"/>
  <c r="H223" i="1"/>
  <c r="N223" i="1"/>
  <c r="H315" i="1"/>
  <c r="N315" i="1"/>
  <c r="N318" i="1" s="1"/>
  <c r="K182" i="1"/>
  <c r="K318" i="1" s="1"/>
  <c r="H182" i="1"/>
  <c r="E40" i="1"/>
  <c r="K85" i="1"/>
  <c r="N325" i="1"/>
  <c r="K315" i="1"/>
  <c r="N69" i="1"/>
  <c r="H69" i="1"/>
  <c r="H85" i="1"/>
  <c r="N182" i="1"/>
  <c r="H325" i="1"/>
  <c r="H40" i="1"/>
  <c r="H87" i="1" s="1"/>
  <c r="N85" i="1"/>
  <c r="K325" i="1"/>
  <c r="K40" i="1"/>
  <c r="N40" i="1"/>
  <c r="H191" i="1"/>
  <c r="K337" i="1"/>
  <c r="E315" i="1"/>
  <c r="E191" i="1"/>
  <c r="E182" i="1"/>
  <c r="E69" i="1"/>
  <c r="E223" i="1"/>
  <c r="E85" i="1"/>
  <c r="E325" i="1"/>
  <c r="H290" i="4" l="1"/>
  <c r="H298" i="4" s="1"/>
  <c r="K290" i="4"/>
  <c r="K298" i="4" s="1"/>
  <c r="L290" i="4"/>
  <c r="L298" i="4" s="1"/>
  <c r="J290" i="4"/>
  <c r="J298" i="4" s="1"/>
  <c r="I290" i="4"/>
  <c r="I298" i="4" s="1"/>
  <c r="M290" i="4"/>
  <c r="M298" i="4" s="1"/>
  <c r="N290" i="4"/>
  <c r="N298" i="4" s="1"/>
  <c r="O290" i="4"/>
  <c r="O298" i="4" s="1"/>
  <c r="H318" i="1"/>
  <c r="K87" i="1"/>
  <c r="N87" i="1"/>
  <c r="N320" i="1" s="1"/>
  <c r="N327" i="1" s="1"/>
  <c r="N340" i="1" s="1"/>
  <c r="N343" i="1" s="1"/>
  <c r="K320" i="1"/>
  <c r="K327" i="1" s="1"/>
  <c r="K340" i="1" s="1"/>
  <c r="K343" i="1" s="1"/>
  <c r="H320" i="1"/>
  <c r="H327" i="1" s="1"/>
  <c r="H340" i="1" s="1"/>
  <c r="H343" i="1" s="1"/>
  <c r="E318" i="1"/>
  <c r="E87" i="1"/>
  <c r="E320" i="1" s="1"/>
  <c r="O304" i="4" l="1"/>
  <c r="O307" i="4" s="1"/>
  <c r="N304" i="4"/>
  <c r="N307" i="4" s="1"/>
  <c r="M304" i="4"/>
  <c r="M307" i="4" s="1"/>
  <c r="I304" i="4"/>
  <c r="I307" i="4" s="1"/>
  <c r="J304" i="4"/>
  <c r="J307" i="4" s="1"/>
  <c r="L304" i="4"/>
  <c r="L307" i="4" s="1"/>
  <c r="K304" i="4"/>
  <c r="K307" i="4" s="1"/>
  <c r="H304" i="4"/>
  <c r="H307" i="4" s="1"/>
  <c r="E327" i="1"/>
  <c r="E340" i="1" s="1"/>
  <c r="E343" i="1" s="1"/>
  <c r="D40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<sst xmlns="http://schemas.openxmlformats.org/spreadsheetml/2006/main" count="1054" uniqueCount="574">
  <si>
    <t>Particulars</t>
  </si>
  <si>
    <t>Amount ( INR)</t>
  </si>
  <si>
    <t>Sales Reclassfication- Permanent Nature</t>
  </si>
  <si>
    <t>Sales Reclassification- Permanent Nature</t>
  </si>
  <si>
    <t>SEG Armature Price Diff</t>
  </si>
  <si>
    <t>Customer Price Difference</t>
  </si>
  <si>
    <t>IGST Sales Goods 28%</t>
  </si>
  <si>
    <t>NA Old Hand Primer Sales GL</t>
  </si>
  <si>
    <t>SEG Armature @ 28%</t>
  </si>
  <si>
    <t>Price Diff on Sales</t>
  </si>
  <si>
    <t>Sales @ 5%</t>
  </si>
  <si>
    <t>Sales Provision</t>
  </si>
  <si>
    <t>Grease Sales</t>
  </si>
  <si>
    <t>SEG Armature</t>
  </si>
  <si>
    <t>SEG BH Sales</t>
  </si>
  <si>
    <t>Assembly &amp; Tooling Fees</t>
  </si>
  <si>
    <t>Export Sales</t>
  </si>
  <si>
    <t>Foc Sales</t>
  </si>
  <si>
    <t>Handprimer Sales @18%</t>
  </si>
  <si>
    <t>IGST Sales Goods 18%</t>
  </si>
  <si>
    <t>Sales of Packing Material Blister</t>
  </si>
  <si>
    <t xml:space="preserve">Sales of Packing Material Box
</t>
  </si>
  <si>
    <t>Sales Return</t>
  </si>
  <si>
    <t>SGST Sales @18%</t>
  </si>
  <si>
    <t>Supply of Traded Goods</t>
  </si>
  <si>
    <t>Sales @ 28%</t>
  </si>
  <si>
    <t>Recovery of Additional Packing Cost</t>
  </si>
  <si>
    <t>Rejection Handling Charges</t>
  </si>
  <si>
    <t>Recovery of Transportation and Other Charges</t>
  </si>
  <si>
    <t>Man-Power Charges_S</t>
  </si>
  <si>
    <t>Recovery of EVR Compensation</t>
  </si>
  <si>
    <t>Service Charges for Research and Development</t>
  </si>
  <si>
    <t>Recovery of Manpower Cost</t>
  </si>
  <si>
    <t>Recovery of Transaportation Cost</t>
  </si>
  <si>
    <t>Price Difference</t>
  </si>
  <si>
    <t>Product Assembly and Testing Charges</t>
  </si>
  <si>
    <t>Sub Contracting- Gear Segment</t>
  </si>
  <si>
    <t>Sub Contracting Income- A Pump</t>
  </si>
  <si>
    <t>Supplier Defect &amp; Sorting Cost</t>
  </si>
  <si>
    <t>Total Sales</t>
  </si>
  <si>
    <t>Scrap Armature</t>
  </si>
  <si>
    <t>Scrap Waste Corrugated Box</t>
  </si>
  <si>
    <t>Assembly Scrap</t>
  </si>
  <si>
    <t>Fire Wood</t>
  </si>
  <si>
    <t>MS Scrap</t>
  </si>
  <si>
    <t>Scarp Pipe Linkage</t>
  </si>
  <si>
    <t>Scrap Aluminium small bits</t>
  </si>
  <si>
    <t>Scrap Armature with copper wire</t>
  </si>
  <si>
    <t>Scrap Armature Without Wire</t>
  </si>
  <si>
    <t>Scrap Sales</t>
  </si>
  <si>
    <t>Scrap Copper Wire and Commutator</t>
  </si>
  <si>
    <t>Scrap Paper</t>
  </si>
  <si>
    <t>Scrap Waste</t>
  </si>
  <si>
    <t>Scrap Wire</t>
  </si>
  <si>
    <t>Srap Aluminium cut bits</t>
  </si>
  <si>
    <t>Old UPS Battery</t>
  </si>
  <si>
    <t>Sale of Empty Barrel</t>
  </si>
  <si>
    <t>Sale of Used Oil</t>
  </si>
  <si>
    <t>Scrap Aluminium</t>
  </si>
  <si>
    <t>Scrap Bronze</t>
  </si>
  <si>
    <t>Scrap Carton Box</t>
  </si>
  <si>
    <t>Scrap Copper</t>
  </si>
  <si>
    <t>Scrap Cotton</t>
  </si>
  <si>
    <t>Scrap Metal</t>
  </si>
  <si>
    <t>Scrap Plastic</t>
  </si>
  <si>
    <t>Scrap Steel</t>
  </si>
  <si>
    <t>Scrap Wood</t>
  </si>
  <si>
    <t>Total Operating Income</t>
  </si>
  <si>
    <t>Interest on IT Refund</t>
  </si>
  <si>
    <t>Gain Or Loss on Sales of Fixed Assets</t>
  </si>
  <si>
    <t>Rental Income</t>
  </si>
  <si>
    <t>OJT Reimbursment</t>
  </si>
  <si>
    <t>Profit on Sale of Fixed Assets</t>
  </si>
  <si>
    <t>RODTEP income</t>
  </si>
  <si>
    <t>Sale of Fixed Asset</t>
  </si>
  <si>
    <t>Interest on Loan to Employee</t>
  </si>
  <si>
    <t>Building Rent-Income</t>
  </si>
  <si>
    <t>Interest on Fixed Deposit</t>
  </si>
  <si>
    <t>Other Income</t>
  </si>
  <si>
    <t>Professional Receipts</t>
  </si>
  <si>
    <t>Interest Inc- OCI</t>
  </si>
  <si>
    <t>Interest Inc ROU PL</t>
  </si>
  <si>
    <t>Total Other Income</t>
  </si>
  <si>
    <t>Lab Testing Charges</t>
  </si>
  <si>
    <t>AAI Charges</t>
  </si>
  <si>
    <t>CFS Charges</t>
  </si>
  <si>
    <t>Documentation Charges</t>
  </si>
  <si>
    <t>Freight Inward Air Local</t>
  </si>
  <si>
    <t>Import Air Freight - Chennai</t>
  </si>
  <si>
    <t>Logistics Supervisor Expenses</t>
  </si>
  <si>
    <t>Power Expenses</t>
  </si>
  <si>
    <t>Air Freight</t>
  </si>
  <si>
    <t>Air Line Charges</t>
  </si>
  <si>
    <t>A Pump Consumables</t>
  </si>
  <si>
    <t>A Pump Manufacturing Goods</t>
  </si>
  <si>
    <t>Calibration Expenses</t>
  </si>
  <si>
    <t>CC Fees</t>
  </si>
  <si>
    <t>Consultation Charges</t>
  </si>
  <si>
    <t>Consumable Expenses</t>
  </si>
  <si>
    <t>Consumables Expenses-Trf From Pur</t>
  </si>
  <si>
    <t>CWC Charges</t>
  </si>
  <si>
    <t>Diesel Expenses for DG</t>
  </si>
  <si>
    <t>Driver Expense</t>
  </si>
  <si>
    <t>EX Works Charges</t>
  </si>
  <si>
    <t>Freight Inward Provision</t>
  </si>
  <si>
    <t>Freight Inward- Road Local</t>
  </si>
  <si>
    <t>Freight Inward- Road Local-RCM</t>
  </si>
  <si>
    <t>Imported Material Air Freight</t>
  </si>
  <si>
    <t>Imported Material Loading Charges</t>
  </si>
  <si>
    <t>Imported Material Local Transportaion Charges</t>
  </si>
  <si>
    <t>Imported Material Sea Freight</t>
  </si>
  <si>
    <t>Imported Menzies Aviation Charges</t>
  </si>
  <si>
    <t>Inspection Charges</t>
  </si>
  <si>
    <t>Interest on Import Duty</t>
  </si>
  <si>
    <t>Lab Testing Expenses</t>
  </si>
  <si>
    <t>Manifestion Charges</t>
  </si>
  <si>
    <t>New Gauges</t>
  </si>
  <si>
    <t>Ocean Freight</t>
  </si>
  <si>
    <t>Other Freight Service Charges</t>
  </si>
  <si>
    <t>Other Manufacturing Expenses-Goods</t>
  </si>
  <si>
    <t>Other Manufacturing Expenses Provision</t>
  </si>
  <si>
    <t>Other Manufacturing Expenses- Reimbursement</t>
  </si>
  <si>
    <t>Power Expense Office Provision</t>
  </si>
  <si>
    <t>Power Expenses Office</t>
  </si>
  <si>
    <t xml:space="preserve">Power Expenses Provision shop floor_x000D_
</t>
  </si>
  <si>
    <t>Power Expenses-Shopfloor</t>
  </si>
  <si>
    <t>PPE Expenses</t>
  </si>
  <si>
    <t>Quality and Testing Expenses</t>
  </si>
  <si>
    <t>Service Charges</t>
  </si>
  <si>
    <t>Sorting Cost</t>
  </si>
  <si>
    <t>Transportation Charges</t>
  </si>
  <si>
    <t>Imported Material CHA Charges</t>
  </si>
  <si>
    <t xml:space="preserve">Power Expenses Provision shop floor
</t>
  </si>
  <si>
    <t>Total Manufacturing cost</t>
  </si>
  <si>
    <t>17 Feet Container Expenses</t>
  </si>
  <si>
    <t>Freight Outward Prov</t>
  </si>
  <si>
    <t>Diesel Charges</t>
  </si>
  <si>
    <t>Freight Outward -Road-RCM</t>
  </si>
  <si>
    <t>Freight &amp; Packing Expenses</t>
  </si>
  <si>
    <t>Other Bolero Expense</t>
  </si>
  <si>
    <t>Packing Expense</t>
  </si>
  <si>
    <t>Total Selling OH</t>
  </si>
  <si>
    <t>NAPS Operators Salary Expenses</t>
  </si>
  <si>
    <t>Service Charges- Labour</t>
  </si>
  <si>
    <t xml:space="preserve">Gratuity Expenses_x000D_
</t>
  </si>
  <si>
    <t>NPS Employer Contribution</t>
  </si>
  <si>
    <t>Provision for labour settlement</t>
  </si>
  <si>
    <t>Salary Reimbursement</t>
  </si>
  <si>
    <t>Training Expenses</t>
  </si>
  <si>
    <t>Canteen Recovery</t>
  </si>
  <si>
    <t>Drinking Water</t>
  </si>
  <si>
    <t>Drinking Water Provision</t>
  </si>
  <si>
    <t>Employee Health Insurance Expenses</t>
  </si>
  <si>
    <t>ESIC</t>
  </si>
  <si>
    <t>Food and Other Dining Expenes</t>
  </si>
  <si>
    <t>Food and Other Dining Expenes-Reimbursement</t>
  </si>
  <si>
    <t>Gift Expeneses</t>
  </si>
  <si>
    <t>GST on Food Expenses</t>
  </si>
  <si>
    <t>Incentive Expenses</t>
  </si>
  <si>
    <t>Incentive for Operator Provision</t>
  </si>
  <si>
    <t>Incentive M&amp;SS</t>
  </si>
  <si>
    <t>Man Power Charges</t>
  </si>
  <si>
    <t>Milk Expenses</t>
  </si>
  <si>
    <t>M&amp;SS Salary</t>
  </si>
  <si>
    <t>M&amp;SS Salary Provision</t>
  </si>
  <si>
    <t>NEEM Office Salary</t>
  </si>
  <si>
    <t>NEEM Operator- Shop floor peopl+supervisor Salary</t>
  </si>
  <si>
    <t>NEEM Operator- Shop floor Provision</t>
  </si>
  <si>
    <t>Operator Salary- APump</t>
  </si>
  <si>
    <t>Other Deductions</t>
  </si>
  <si>
    <t>Pump Line Operatory Salary Provision</t>
  </si>
  <si>
    <t>Special Expenses</t>
  </si>
  <si>
    <t>Total Man Power Cost</t>
  </si>
  <si>
    <t>Administrative Fees</t>
  </si>
  <si>
    <t>Nisanth Kumar T Car Maintainance</t>
  </si>
  <si>
    <t>Expenses of Hardware</t>
  </si>
  <si>
    <t>Rent on Mahinery</t>
  </si>
  <si>
    <t>Service Charges- Admin</t>
  </si>
  <si>
    <t>Service Charges- Production</t>
  </si>
  <si>
    <t>Bank Charges- Import Expenses</t>
  </si>
  <si>
    <t>Additonal Charges</t>
  </si>
  <si>
    <t>Charge Off-Vendor Mismatch</t>
  </si>
  <si>
    <t>Corporate Social Responsibility (CSR)</t>
  </si>
  <si>
    <t>Foreign Travel Expenses</t>
  </si>
  <si>
    <t>Generator Service</t>
  </si>
  <si>
    <t>Interest on Factoring</t>
  </si>
  <si>
    <t>Interest on IT Expenses</t>
  </si>
  <si>
    <t>Maintenance Provision</t>
  </si>
  <si>
    <t>Relocation Allowances</t>
  </si>
  <si>
    <t>Travel Foreign</t>
  </si>
  <si>
    <t>House Keeping Expense Provision</t>
  </si>
  <si>
    <t>Maintenance Charges</t>
  </si>
  <si>
    <t>Other Expenses</t>
  </si>
  <si>
    <t>Central Charges- Provision</t>
  </si>
  <si>
    <t>External customer sorting cost</t>
  </si>
  <si>
    <t>Professional Training Expenses</t>
  </si>
  <si>
    <t>Royalty Expenses</t>
  </si>
  <si>
    <t>Water Charges</t>
  </si>
  <si>
    <t>Central Charges</t>
  </si>
  <si>
    <t>Garden Expenses</t>
  </si>
  <si>
    <t>Installation Charges</t>
  </si>
  <si>
    <t>Other Charges</t>
  </si>
  <si>
    <t>Travel Expenses</t>
  </si>
  <si>
    <t>Travel Provision</t>
  </si>
  <si>
    <t>A Pump Maintenance Cost</t>
  </si>
  <si>
    <t>Bank Charges</t>
  </si>
  <si>
    <t>Broad Band Usage</t>
  </si>
  <si>
    <t>Building Maintenance Expenses-Goods</t>
  </si>
  <si>
    <t>Building Rent</t>
  </si>
  <si>
    <t>Building Rent Monthly Provision</t>
  </si>
  <si>
    <t>Car Maintenance Allowances</t>
  </si>
  <si>
    <t>CEO Car Expenses</t>
  </si>
  <si>
    <t>Cleaning Expenses</t>
  </si>
  <si>
    <t>COO Car Expenses</t>
  </si>
  <si>
    <t>Courier and Postage Expenses</t>
  </si>
  <si>
    <t>CS Remuneration Charges</t>
  </si>
  <si>
    <t>Electrical Fitting Expenses</t>
  </si>
  <si>
    <t>FOC-Charge Off</t>
  </si>
  <si>
    <t>GST Ineligible Part</t>
  </si>
  <si>
    <t>House Keeping Expenses</t>
  </si>
  <si>
    <t>Insurance charges for vehicle</t>
  </si>
  <si>
    <t>Insurance Charges-Goods</t>
  </si>
  <si>
    <t>Interest On Late Fee</t>
  </si>
  <si>
    <t>IT Expenses Hardware</t>
  </si>
  <si>
    <t>IT Expenses-Services</t>
  </si>
  <si>
    <t>IT Expenses Software</t>
  </si>
  <si>
    <t>Legal and Professional Expenses</t>
  </si>
  <si>
    <t>Legal and Professional Prepaid Expenses</t>
  </si>
  <si>
    <t>Legal Expenses-Gov Fees</t>
  </si>
  <si>
    <t>Legal &amp; Professional Provision</t>
  </si>
  <si>
    <t>Local Travel Expenses-Reimbursement</t>
  </si>
  <si>
    <t>Machine Maintenance Expenses</t>
  </si>
  <si>
    <t>Machine Maintenance-Reimbursment</t>
  </si>
  <si>
    <t>Machine Rent</t>
  </si>
  <si>
    <t>Machine Rent Prov</t>
  </si>
  <si>
    <t>Office Consumables</t>
  </si>
  <si>
    <t>Office Stationary Expenses-GST</t>
  </si>
  <si>
    <t>Office Stationary Non-GST</t>
  </si>
  <si>
    <t>Other Admin Expenses</t>
  </si>
  <si>
    <t>Other Admin Expenses Non-GST</t>
  </si>
  <si>
    <t>Other Expense Provision</t>
  </si>
  <si>
    <t>Penalty</t>
  </si>
  <si>
    <t>Plastic Bin Expenses</t>
  </si>
  <si>
    <t>Printer Maintenance</t>
  </si>
  <si>
    <t>Professional Charges</t>
  </si>
  <si>
    <t>Repair and Maintenanc-Goods</t>
  </si>
  <si>
    <t>ROC Filling Fees</t>
  </si>
  <si>
    <t>Round Off</t>
  </si>
  <si>
    <t>Security Guard Expense</t>
  </si>
  <si>
    <t>Stamp Duty Expenses</t>
  </si>
  <si>
    <t>Tax Expenses</t>
  </si>
  <si>
    <t>Telephone Expenses</t>
  </si>
  <si>
    <t>Travel Expenses-Bus-Reimbursement</t>
  </si>
  <si>
    <t>Travel Expenses-Caband Auto- Reimbursement</t>
  </si>
  <si>
    <t>Travel Expenses- Flight-Reimbursement</t>
  </si>
  <si>
    <t>Travel Expenses Food-Reimbursement</t>
  </si>
  <si>
    <t>Travel Expenses-Hotel-Reimbursement</t>
  </si>
  <si>
    <t>Two Wheeler Vehicle Charges</t>
  </si>
  <si>
    <t>Interest Exp ROU PL</t>
  </si>
  <si>
    <t>Legal and Professional Expenses-Reimbursement</t>
  </si>
  <si>
    <t>Rent Exp- Ind AS</t>
  </si>
  <si>
    <t>Rent Ind AS PL</t>
  </si>
  <si>
    <t>EXPENSES</t>
  </si>
  <si>
    <t>Total Admin  OH</t>
  </si>
  <si>
    <t>EBITDA</t>
  </si>
  <si>
    <t>Depreciation Expense</t>
  </si>
  <si>
    <t>Depreciation ROU PL</t>
  </si>
  <si>
    <t>Total Depreciation</t>
  </si>
  <si>
    <t>EBIT</t>
  </si>
  <si>
    <t>Int on Working Capital Limit</t>
  </si>
  <si>
    <t>PBT</t>
  </si>
  <si>
    <t>Income Tax</t>
  </si>
  <si>
    <t>PAT</t>
  </si>
  <si>
    <t>Total Interest</t>
  </si>
  <si>
    <t>Unrealised Forex Loss</t>
  </si>
  <si>
    <t>Forex Income</t>
  </si>
  <si>
    <t>Forex Loss</t>
  </si>
  <si>
    <t>Unrealised Gain/Loss (Liability)</t>
  </si>
  <si>
    <t>Purchase Accounts (Bills to come)</t>
  </si>
  <si>
    <t>External Defect Cost</t>
  </si>
  <si>
    <t>Material Reclassfication- Permanent Nature</t>
  </si>
  <si>
    <t>Tooling and Project Expenses</t>
  </si>
  <si>
    <t>Material Reclassification-Permanent Nature</t>
  </si>
  <si>
    <t>Customer Claimed Machines</t>
  </si>
  <si>
    <t>Project Defect Cost</t>
  </si>
  <si>
    <t>Project Purchase Cost</t>
  </si>
  <si>
    <t>Supplier Provision</t>
  </si>
  <si>
    <t>Tooling Cost</t>
  </si>
  <si>
    <t>Cash Discount</t>
  </si>
  <si>
    <t>Cost of Goods Sold</t>
  </si>
  <si>
    <t>Defect Cost Provision</t>
  </si>
  <si>
    <t>Inventory- Cut Off Creation</t>
  </si>
  <si>
    <t>Supplier Claim</t>
  </si>
  <si>
    <t>Inventory Cut Off Creation</t>
  </si>
  <si>
    <t>Setting Scrap</t>
  </si>
  <si>
    <t>Project Expenses</t>
  </si>
  <si>
    <t>Custom Duty</t>
  </si>
  <si>
    <t>Defect Cost</t>
  </si>
  <si>
    <t>Equipment Purchased</t>
  </si>
  <si>
    <t>Fx Impact- Part of Purchase</t>
  </si>
  <si>
    <t>GST Purchase</t>
  </si>
  <si>
    <t>Import Purchase</t>
  </si>
  <si>
    <t>Inventory Mismatch</t>
  </si>
  <si>
    <t>Job Work Expenses</t>
  </si>
  <si>
    <t>Price Diff.</t>
  </si>
  <si>
    <t>Price Reduction for Bosh Prov</t>
  </si>
  <si>
    <t>Product Recall Liability</t>
  </si>
  <si>
    <t>Purchase@12%</t>
  </si>
  <si>
    <t>Purchase @18%</t>
  </si>
  <si>
    <t>Purchase@ 28%</t>
  </si>
  <si>
    <t>Purchase@5%</t>
  </si>
  <si>
    <t>Purchase of Traded Goods</t>
  </si>
  <si>
    <t>Purchase Return</t>
  </si>
  <si>
    <t>Purchase Returns</t>
  </si>
  <si>
    <t>Purchase Trf to Expenses</t>
  </si>
  <si>
    <t>Quality Exp Provision</t>
  </si>
  <si>
    <t>Supplier Price Difference</t>
  </si>
  <si>
    <t>Intercompany Purchase/sales</t>
  </si>
  <si>
    <t>Inventory Devalie</t>
  </si>
  <si>
    <t>Provision for Material Expenses</t>
  </si>
  <si>
    <t>Depreciation ROU</t>
  </si>
  <si>
    <t>Interest Exp- ROU</t>
  </si>
  <si>
    <t>Waste Management</t>
  </si>
  <si>
    <t>Income Tax Expenses</t>
  </si>
  <si>
    <t>Unadjusted Forex Gain/Loss</t>
  </si>
  <si>
    <t>Debit</t>
  </si>
  <si>
    <t>Credit</t>
  </si>
  <si>
    <t>JAN-25</t>
  </si>
  <si>
    <t>FEB-25</t>
  </si>
  <si>
    <t>MAR-25</t>
  </si>
  <si>
    <t>APR-25</t>
  </si>
  <si>
    <t>Total of other Income</t>
  </si>
  <si>
    <t>Total Income</t>
  </si>
  <si>
    <t>Total Expenses</t>
  </si>
  <si>
    <t>Net Forex</t>
  </si>
  <si>
    <t>Total</t>
  </si>
  <si>
    <t>Sl.no</t>
  </si>
  <si>
    <t>Sales finished products</t>
  </si>
  <si>
    <t>Revenue finish. product third party foreign non EU</t>
  </si>
  <si>
    <t>Revenue fp third party EU</t>
  </si>
  <si>
    <t>Revenue fp other Prettl companies EU</t>
  </si>
  <si>
    <t>Revenue fp other Prettl companies foreign non EU</t>
  </si>
  <si>
    <t>Revenue fp other Prettl companies domestic</t>
  </si>
  <si>
    <t>Recharged other service c 3.rd parties domestic</t>
  </si>
  <si>
    <t>Inventory changes - finished goods GBB-AUA</t>
  </si>
  <si>
    <t>Valuation Difference finished goods (AUM/UMB)</t>
  </si>
  <si>
    <t>Inventory changes - unfinished goods GBB-AUA</t>
  </si>
  <si>
    <t>Other operating income - scrap sales</t>
  </si>
  <si>
    <t>Purchase Price Variance</t>
  </si>
  <si>
    <t>Currency translation gains realized</t>
  </si>
  <si>
    <t>Cash Discounts - vendors</t>
  </si>
  <si>
    <t>cash discounts earned</t>
  </si>
  <si>
    <t>other deductions</t>
  </si>
  <si>
    <t>Interest on Fixed deposit</t>
  </si>
  <si>
    <t>Duty Drawback</t>
  </si>
  <si>
    <t>Inbound Freight Income 3rd parties</t>
  </si>
  <si>
    <t>Tooling Costs</t>
  </si>
  <si>
    <t>Freight Inbound -Sea</t>
  </si>
  <si>
    <t>Freight Inbound -Air</t>
  </si>
  <si>
    <t>Freight Inbound -Road</t>
  </si>
  <si>
    <t>Freight Inbound -RCM  Vendors</t>
  </si>
  <si>
    <t>Goods Vehicles Expenses</t>
  </si>
  <si>
    <t>Calibration Services</t>
  </si>
  <si>
    <t>Gas, electricity, water third parties</t>
  </si>
  <si>
    <t>Diesel, &amp; Generator  Expenses</t>
  </si>
  <si>
    <t>Maintenance of operating premises</t>
  </si>
  <si>
    <t>Repair &amp; Maint. - Bldg.</t>
  </si>
  <si>
    <t>Repairs &amp; Maintenance - Equipment</t>
  </si>
  <si>
    <t>Technical Consultation Cost</t>
  </si>
  <si>
    <t>Other Manufacturing Cost - Spares</t>
  </si>
  <si>
    <t>Other repairs and maintenance</t>
  </si>
  <si>
    <t>Indirect Production Consumables</t>
  </si>
  <si>
    <t>Outside services</t>
  </si>
  <si>
    <t>Inventory changes - finished goods</t>
  </si>
  <si>
    <t>Inventory changes finished goods (w.o. cost elemen</t>
  </si>
  <si>
    <t>Price Variance finished goods (PRD,KDG,DIF)</t>
  </si>
  <si>
    <t>Inventory changes finished goods scrap (GBB-VNG)</t>
  </si>
  <si>
    <t>Inventory changes - unfinished goods</t>
  </si>
  <si>
    <t>Inventory changes unfinished goods (w.o. cost elem</t>
  </si>
  <si>
    <t>Valuation Difference unfinished goods (AUM/UMB)</t>
  </si>
  <si>
    <t>Inventory changes semi-fin.goods scrap (GBB-VNG)</t>
  </si>
  <si>
    <t>Cost raw mat consumed</t>
  </si>
  <si>
    <t>RM cons. (GBB-VAX without cost element)</t>
  </si>
  <si>
    <t>Changes inventory raw material</t>
  </si>
  <si>
    <t>Cost consumables</t>
  </si>
  <si>
    <t>Material Usage Variance</t>
  </si>
  <si>
    <t>Scrap</t>
  </si>
  <si>
    <t>Sorting cost - Customer related</t>
  </si>
  <si>
    <t>Custom Duty Expenses</t>
  </si>
  <si>
    <t>external services third parties</t>
  </si>
  <si>
    <t>Packing materials</t>
  </si>
  <si>
    <t>Outgoing freight</t>
  </si>
  <si>
    <t>Freight Outbound - RCM Vendors</t>
  </si>
  <si>
    <t>Other Transport Charges</t>
  </si>
  <si>
    <t>Total MFG OH</t>
  </si>
  <si>
    <t>Bonuses</t>
  </si>
  <si>
    <t>Salaries</t>
  </si>
  <si>
    <t>Salaries - Off-Roll</t>
  </si>
  <si>
    <t>Salaries - NAPS programme</t>
  </si>
  <si>
    <t>gratuity expenses</t>
  </si>
  <si>
    <t>statutory health insurance - IT</t>
  </si>
  <si>
    <t>Total Manpower Cost</t>
  </si>
  <si>
    <t>Works Contract tax Payable</t>
  </si>
  <si>
    <t>company events</t>
  </si>
  <si>
    <t>CSR Expenses (Corporate Social Responsibility)</t>
  </si>
  <si>
    <t>Other operating costs</t>
  </si>
  <si>
    <t>Security Fee</t>
  </si>
  <si>
    <t>Insurance - Other</t>
  </si>
  <si>
    <t>Other duties and fees</t>
  </si>
  <si>
    <t>Other IT costs</t>
  </si>
  <si>
    <t>IT Expenses - Software</t>
  </si>
  <si>
    <t>IT Expenses - Services</t>
  </si>
  <si>
    <t>IT Expenses - Hardware</t>
  </si>
  <si>
    <t>Vehicle expenses</t>
  </si>
  <si>
    <t>Co. Vehicle Expenses - with Employees</t>
  </si>
  <si>
    <t>Employee travel expenses</t>
  </si>
  <si>
    <t>Employee Travel Food reimbursements</t>
  </si>
  <si>
    <t>Employee travel expenses third parties</t>
  </si>
  <si>
    <t>Other Travel Expenses</t>
  </si>
  <si>
    <t>Administrative costs related companies</t>
  </si>
  <si>
    <t>Administrative costs other PRETTL companies</t>
  </si>
  <si>
    <t>FOC - Charge off</t>
  </si>
  <si>
    <t>Other Adimistrative Costs</t>
  </si>
  <si>
    <t>Roayalty Expenses</t>
  </si>
  <si>
    <t>Postage &amp; Courier</t>
  </si>
  <si>
    <t>Telephone</t>
  </si>
  <si>
    <t>Newspapers/books</t>
  </si>
  <si>
    <t>Training &amp; Seminars</t>
  </si>
  <si>
    <t>Legal and consulting costs</t>
  </si>
  <si>
    <t>Legal and consulting costs related companies</t>
  </si>
  <si>
    <t>Rent of fixtures and fittings (movable assets)</t>
  </si>
  <si>
    <t>Rent - Building</t>
  </si>
  <si>
    <t>Canteen &amp; Housekeeping Supplies</t>
  </si>
  <si>
    <t>Food Expenses</t>
  </si>
  <si>
    <t>Gift Expenses</t>
  </si>
  <si>
    <t>Interest on late fee</t>
  </si>
  <si>
    <t>Total Admin OH</t>
  </si>
  <si>
    <t>Amortisation of intangible assets</t>
  </si>
  <si>
    <t>Depreciation of technical equipment and machinery</t>
  </si>
  <si>
    <t>Depreciation of motor vehicles</t>
  </si>
  <si>
    <t>Depreciation oth equipment operatin office equip</t>
  </si>
  <si>
    <t>Price Variance semifinished goods (PRD,KDG,DIF)</t>
  </si>
  <si>
    <t>Interest</t>
  </si>
  <si>
    <t>Currency translation losses realized</t>
  </si>
  <si>
    <t>SAP GL</t>
  </si>
  <si>
    <t>SAP Description</t>
  </si>
  <si>
    <t>Tally Descriptionm</t>
  </si>
  <si>
    <t>Total 2025</t>
  </si>
  <si>
    <t>Total-Jan to Apr</t>
  </si>
  <si>
    <t>Total May to Dec</t>
  </si>
  <si>
    <t>ek</t>
  </si>
  <si>
    <t>ede</t>
  </si>
  <si>
    <t>d</t>
  </si>
  <si>
    <t>de</t>
  </si>
  <si>
    <t>d jn</t>
  </si>
  <si>
    <t>dd</t>
  </si>
  <si>
    <t>dwd</t>
  </si>
  <si>
    <t>Tally GL</t>
  </si>
  <si>
    <t>400000</t>
  </si>
  <si>
    <t>410000</t>
  </si>
  <si>
    <t>422000</t>
  </si>
  <si>
    <t>425000</t>
  </si>
  <si>
    <t>433000</t>
  </si>
  <si>
    <t>441000</t>
  </si>
  <si>
    <t>460000</t>
  </si>
  <si>
    <t>483002</t>
  </si>
  <si>
    <t>484000</t>
  </si>
  <si>
    <t>501221</t>
  </si>
  <si>
    <t>573000</t>
  </si>
  <si>
    <t>602020</t>
  </si>
  <si>
    <t>710020</t>
  </si>
  <si>
    <t>740001</t>
  </si>
  <si>
    <t>483500</t>
  </si>
  <si>
    <t>540200</t>
  </si>
  <si>
    <t>580001</t>
  </si>
  <si>
    <t>580002</t>
  </si>
  <si>
    <t>580003</t>
  </si>
  <si>
    <t>580004</t>
  </si>
  <si>
    <t>580006</t>
  </si>
  <si>
    <t>590010</t>
  </si>
  <si>
    <t>632500</t>
  </si>
  <si>
    <t>632810</t>
  </si>
  <si>
    <t>633500</t>
  </si>
  <si>
    <t>645000</t>
  </si>
  <si>
    <t>646000</t>
  </si>
  <si>
    <t>646010</t>
  </si>
  <si>
    <t>646020</t>
  </si>
  <si>
    <t>647050</t>
  </si>
  <si>
    <t>647060</t>
  </si>
  <si>
    <t>678000</t>
  </si>
  <si>
    <t>480000</t>
  </si>
  <si>
    <t>480010</t>
  </si>
  <si>
    <t>480200</t>
  </si>
  <si>
    <t>480300</t>
  </si>
  <si>
    <t>481000</t>
  </si>
  <si>
    <t>481010</t>
  </si>
  <si>
    <t>481100</t>
  </si>
  <si>
    <t>481300</t>
  </si>
  <si>
    <t>500000</t>
  </si>
  <si>
    <t>500001</t>
  </si>
  <si>
    <t>500010</t>
  </si>
  <si>
    <t>500090</t>
  </si>
  <si>
    <t>500100</t>
  </si>
  <si>
    <t>500300</t>
  </si>
  <si>
    <t>518740</t>
  </si>
  <si>
    <t>580015</t>
  </si>
  <si>
    <t>590000</t>
  </si>
  <si>
    <t>480001</t>
  </si>
  <si>
    <t>480100</t>
  </si>
  <si>
    <t>481001</t>
  </si>
  <si>
    <t>500200</t>
  </si>
  <si>
    <t>481200</t>
  </si>
  <si>
    <t>671000</t>
  </si>
  <si>
    <t>674000</t>
  </si>
  <si>
    <t>674002</t>
  </si>
  <si>
    <t>676010</t>
  </si>
  <si>
    <t>601060</t>
  </si>
  <si>
    <t>602000</t>
  </si>
  <si>
    <t>602010</t>
  </si>
  <si>
    <t>602015</t>
  </si>
  <si>
    <t>611010</t>
  </si>
  <si>
    <t>617200</t>
  </si>
  <si>
    <t>381901</t>
  </si>
  <si>
    <t>613200</t>
  </si>
  <si>
    <t>617060</t>
  </si>
  <si>
    <t>630000</t>
  </si>
  <si>
    <t>630410</t>
  </si>
  <si>
    <t>632501</t>
  </si>
  <si>
    <t>640000</t>
  </si>
  <si>
    <t>643000</t>
  </si>
  <si>
    <t>649700</t>
  </si>
  <si>
    <t>649701</t>
  </si>
  <si>
    <t>649702</t>
  </si>
  <si>
    <t>649703</t>
  </si>
  <si>
    <t>650000</t>
  </si>
  <si>
    <t>650001</t>
  </si>
  <si>
    <t>665000</t>
  </si>
  <si>
    <t>665010</t>
  </si>
  <si>
    <t>665100</t>
  </si>
  <si>
    <t>665500</t>
  </si>
  <si>
    <t>678700</t>
  </si>
  <si>
    <t>678900</t>
  </si>
  <si>
    <t>678901</t>
  </si>
  <si>
    <t>678902</t>
  </si>
  <si>
    <t>678903</t>
  </si>
  <si>
    <t>679050</t>
  </si>
  <si>
    <t>680000</t>
  </si>
  <si>
    <t>680500</t>
  </si>
  <si>
    <t>682000</t>
  </si>
  <si>
    <t>682100</t>
  </si>
  <si>
    <t>682500</t>
  </si>
  <si>
    <t>682600</t>
  </si>
  <si>
    <t>683500</t>
  </si>
  <si>
    <t>683600</t>
  </si>
  <si>
    <t>684700</t>
  </si>
  <si>
    <t>684701</t>
  </si>
  <si>
    <t>684703</t>
  </si>
  <si>
    <t>684710</t>
  </si>
  <si>
    <t>685500</t>
  </si>
  <si>
    <t>710300</t>
  </si>
  <si>
    <t>620000</t>
  </si>
  <si>
    <t>622000</t>
  </si>
  <si>
    <t>622200</t>
  </si>
  <si>
    <t>622400</t>
  </si>
  <si>
    <t>688000</t>
  </si>
  <si>
    <t>BNG</t>
  </si>
  <si>
    <t>Row Labels</t>
  </si>
  <si>
    <t>Sum of Value</t>
  </si>
  <si>
    <t>Jan</t>
  </si>
  <si>
    <t>Feb</t>
  </si>
  <si>
    <t>Mar</t>
  </si>
  <si>
    <t>Apr</t>
  </si>
  <si>
    <t>Grand Total</t>
  </si>
  <si>
    <t>CHN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</si>
</sst>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 * #,##0_ ;_ * \-#,##0_ ;_ * &quot;-&quot;??_ ;_ @_ "/>
    <numFmt numFmtId="165" formatCode="_ * #,##0.0_ ;_ * \-#,##0.0_ ;_ * &quot;-&quot;??_ ;_ @_ 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Display"/>
      <family val="1"/>
      <scheme val="major"/>
    </font>
    <font>
      <i/>
      <sz val="10"/>
      <color theme="1"/>
      <name val="Aptos Display"/>
      <family val="1"/>
      <scheme val="major"/>
    </font>
    <font>
      <b/>
      <sz val="10"/>
      <color theme="1"/>
      <name val="Aptos Display"/>
      <family val="2"/>
      <scheme val="major"/>
    </font>
    <font>
      <b/>
      <sz val="9"/>
      <color theme="1"/>
      <name val="Arial"/>
      <family val="2"/>
    </font>
    <font>
      <b/>
      <sz val="10"/>
      <color theme="1"/>
      <name val="Aptos Display"/>
      <family val="1"/>
      <scheme val="major"/>
    </font>
    <font>
      <sz val="10"/>
      <color theme="1"/>
      <name val="Aptos Display"/>
      <family val="2"/>
      <scheme val="maj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7">
    <xf numFmtId="0" fontId="0" fillId="0" borderId="0" xfId="0"/>
    <xf numFmtId="3" fontId="3" fillId="0" borderId="1" xfId="1" applyNumberFormat="1" applyFont="1" applyFill="1" applyBorder="1" applyAlignment="1">
      <alignment vertical="top"/>
    </xf>
    <xf numFmtId="0" fontId="0" fillId="0" borderId="1" xfId="0" applyBorder="1"/>
    <xf numFmtId="3" fontId="4" fillId="0" borderId="1" xfId="1" applyNumberFormat="1" applyFont="1" applyFill="1" applyBorder="1" applyAlignment="1">
      <alignment horizontal="left" vertical="top" indent="3"/>
    </xf>
    <xf numFmtId="0" fontId="2" fillId="2" borderId="1" xfId="0" applyFont="1" applyFill="1" applyBorder="1"/>
    <xf numFmtId="0" fontId="0" fillId="2" borderId="1" xfId="0" applyFill="1" applyBorder="1"/>
    <xf numFmtId="3" fontId="4" fillId="0" borderId="1" xfId="1" applyNumberFormat="1" applyFont="1" applyFill="1" applyBorder="1" applyAlignment="1">
      <alignment horizontal="left" vertical="top" indent="4"/>
    </xf>
    <xf numFmtId="0" fontId="0" fillId="0" borderId="0" xfId="0" applyAlignment="1">
      <alignment horizontal="left" vertical="center"/>
    </xf>
    <xf numFmtId="164" fontId="0" fillId="0" borderId="1" xfId="1" applyNumberFormat="1" applyFont="1" applyBorder="1" applyAlignment="1">
      <alignment horizontal="left" vertical="top"/>
    </xf>
    <xf numFmtId="164" fontId="0" fillId="0" borderId="1" xfId="1" applyNumberFormat="1" applyFont="1" applyBorder="1"/>
    <xf numFmtId="164" fontId="0" fillId="0" borderId="0" xfId="1" applyNumberFormat="1" applyFont="1"/>
    <xf numFmtId="49" fontId="6" fillId="3" borderId="2" xfId="0" applyNumberFormat="1" applyFont="1" applyFill="1" applyBorder="1" applyAlignment="1">
      <alignment horizontal="center" vertical="center"/>
    </xf>
    <xf numFmtId="164" fontId="0" fillId="0" borderId="5" xfId="1" applyNumberFormat="1" applyFont="1" applyFill="1" applyBorder="1"/>
    <xf numFmtId="164" fontId="2" fillId="0" borderId="1" xfId="1" applyNumberFormat="1" applyFont="1" applyBorder="1" applyAlignment="1">
      <alignment horizontal="left" vertical="top"/>
    </xf>
    <xf numFmtId="164" fontId="2" fillId="2" borderId="1" xfId="1" applyNumberFormat="1" applyFont="1" applyFill="1" applyBorder="1" applyAlignment="1">
      <alignment horizontal="left" vertical="top"/>
    </xf>
    <xf numFmtId="164" fontId="0" fillId="2" borderId="1" xfId="1" applyNumberFormat="1" applyFont="1" applyFill="1" applyBorder="1" applyAlignment="1">
      <alignment horizontal="left" vertical="top"/>
    </xf>
    <xf numFmtId="164" fontId="0" fillId="2" borderId="1" xfId="1" applyNumberFormat="1" applyFont="1" applyFill="1" applyBorder="1"/>
    <xf numFmtId="3" fontId="3" fillId="0" borderId="0" xfId="1" applyNumberFormat="1" applyFont="1" applyFill="1" applyBorder="1" applyAlignment="1">
      <alignment vertical="top"/>
    </xf>
    <xf numFmtId="164" fontId="2" fillId="4" borderId="1" xfId="1" applyNumberFormat="1" applyFont="1" applyFill="1" applyBorder="1" applyAlignment="1">
      <alignment horizontal="left" vertical="top"/>
    </xf>
    <xf numFmtId="164" fontId="0" fillId="4" borderId="1" xfId="1" applyNumberFormat="1" applyFont="1" applyFill="1" applyBorder="1" applyAlignment="1">
      <alignment horizontal="left" vertical="top"/>
    </xf>
    <xf numFmtId="49" fontId="6" fillId="3" borderId="1" xfId="0" applyNumberFormat="1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0" fillId="5" borderId="1" xfId="1" applyNumberFormat="1" applyFont="1" applyFill="1" applyBorder="1" applyAlignment="1">
      <alignment horizontal="left" vertical="top"/>
    </xf>
    <xf numFmtId="3" fontId="3" fillId="0" borderId="3" xfId="1" applyNumberFormat="1" applyFont="1" applyFill="1" applyBorder="1" applyAlignment="1">
      <alignment vertical="top"/>
    </xf>
    <xf numFmtId="3" fontId="4" fillId="0" borderId="3" xfId="1" applyNumberFormat="1" applyFont="1" applyFill="1" applyBorder="1" applyAlignment="1">
      <alignment horizontal="left" vertical="top" indent="3"/>
    </xf>
    <xf numFmtId="0" fontId="2" fillId="2" borderId="3" xfId="0" applyFont="1" applyFill="1" applyBorder="1"/>
    <xf numFmtId="3" fontId="5" fillId="4" borderId="3" xfId="1" applyNumberFormat="1" applyFont="1" applyFill="1" applyBorder="1" applyAlignment="1">
      <alignment vertical="top"/>
    </xf>
    <xf numFmtId="3" fontId="4" fillId="0" borderId="3" xfId="1" applyNumberFormat="1" applyFont="1" applyFill="1" applyBorder="1" applyAlignment="1">
      <alignment horizontal="left" vertical="top" indent="4"/>
    </xf>
    <xf numFmtId="3" fontId="5" fillId="0" borderId="3" xfId="1" applyNumberFormat="1" applyFont="1" applyFill="1" applyBorder="1" applyAlignment="1">
      <alignment vertical="top"/>
    </xf>
    <xf numFmtId="3" fontId="3" fillId="0" borderId="3" xfId="1" applyNumberFormat="1" applyFont="1" applyFill="1" applyBorder="1" applyAlignment="1">
      <alignment horizontal="left" vertical="top" wrapText="1" indent="2"/>
    </xf>
    <xf numFmtId="3" fontId="7" fillId="2" borderId="3" xfId="1" applyNumberFormat="1" applyFont="1" applyFill="1" applyBorder="1" applyAlignment="1">
      <alignment vertical="top"/>
    </xf>
    <xf numFmtId="3" fontId="7" fillId="0" borderId="3" xfId="1" applyNumberFormat="1" applyFont="1" applyFill="1" applyBorder="1" applyAlignment="1">
      <alignment vertical="top"/>
    </xf>
    <xf numFmtId="0" fontId="0" fillId="0" borderId="1" xfId="0" applyBorder="1" applyAlignment="1">
      <alignment horizontal="center"/>
    </xf>
    <xf numFmtId="17" fontId="0" fillId="0" borderId="0" xfId="0" applyNumberFormat="1"/>
    <xf numFmtId="0" fontId="0" fillId="0" borderId="1" xfId="0" applyBorder="1" applyAlignment="1">
      <alignment vertical="top"/>
    </xf>
    <xf numFmtId="0" fontId="2" fillId="2" borderId="1" xfId="0" applyFont="1" applyFill="1" applyBorder="1" applyAlignment="1">
      <alignment vertical="top"/>
    </xf>
    <xf numFmtId="0" fontId="2" fillId="0" borderId="1" xfId="0" applyFont="1" applyBorder="1" applyAlignment="1">
      <alignment vertical="top"/>
    </xf>
    <xf numFmtId="0" fontId="2" fillId="3" borderId="1" xfId="0" applyFont="1" applyFill="1" applyBorder="1" applyAlignment="1">
      <alignment vertical="top"/>
    </xf>
    <xf numFmtId="165" fontId="0" fillId="0" borderId="1" xfId="1" applyNumberFormat="1" applyFont="1" applyBorder="1"/>
    <xf numFmtId="164" fontId="2" fillId="0" borderId="1" xfId="1" applyNumberFormat="1" applyFont="1" applyBorder="1"/>
    <xf numFmtId="164" fontId="2" fillId="2" borderId="1" xfId="1" applyNumberFormat="1" applyFont="1" applyFill="1" applyBorder="1"/>
    <xf numFmtId="0" fontId="2" fillId="3" borderId="1" xfId="0" applyFont="1" applyFill="1" applyBorder="1"/>
    <xf numFmtId="164" fontId="2" fillId="3" borderId="1" xfId="1" applyNumberFormat="1" applyFont="1" applyFill="1" applyBorder="1"/>
    <xf numFmtId="49" fontId="6" fillId="2" borderId="1" xfId="0" applyNumberFormat="1" applyFont="1" applyFill="1" applyBorder="1" applyAlignment="1">
      <alignment horizontal="center" vertical="center"/>
    </xf>
    <xf numFmtId="164" fontId="0" fillId="0" borderId="0" xfId="0" applyNumberFormat="1"/>
    <xf numFmtId="17" fontId="2" fillId="2" borderId="2" xfId="0" applyNumberFormat="1" applyFont="1" applyFill="1" applyBorder="1" applyAlignment="1">
      <alignment horizontal="center"/>
    </xf>
    <xf numFmtId="164" fontId="0" fillId="0" borderId="0" xfId="1" applyNumberFormat="1" applyFont="1" applyFill="1" applyBorder="1"/>
    <xf numFmtId="0" fontId="2" fillId="0" borderId="1" xfId="0" applyFont="1" applyBorder="1"/>
    <xf numFmtId="164" fontId="2" fillId="0" borderId="0" xfId="0" applyNumberFormat="1" applyFont="1"/>
    <xf numFmtId="164" fontId="0" fillId="0" borderId="1" xfId="1" applyNumberFormat="1" applyFont="1" applyBorder="1" applyAlignment="1">
      <alignment vertical="top"/>
    </xf>
    <xf numFmtId="3" fontId="3" fillId="6" borderId="3" xfId="1" applyNumberFormat="1" applyFont="1" applyFill="1" applyBorder="1" applyAlignment="1">
      <alignment vertical="top"/>
    </xf>
    <xf numFmtId="164" fontId="2" fillId="3" borderId="1" xfId="0" applyNumberFormat="1" applyFont="1" applyFill="1" applyBorder="1"/>
    <xf numFmtId="3" fontId="8" fillId="0" borderId="3" xfId="1" applyNumberFormat="1" applyFont="1" applyFill="1" applyBorder="1" applyAlignment="1">
      <alignment vertical="top"/>
    </xf>
    <xf numFmtId="0" fontId="2" fillId="0" borderId="1" xfId="0" applyFont="1" applyBorder="1" applyAlignment="1">
      <alignment horizontal="center"/>
    </xf>
    <xf numFmtId="49" fontId="6" fillId="3" borderId="2" xfId="0" applyNumberFormat="1" applyFont="1" applyFill="1" applyBorder="1" applyAlignment="1">
      <alignment horizontal="center" vertical="center"/>
    </xf>
    <xf numFmtId="49" fontId="6" fillId="3" borderId="4" xfId="0" applyNumberFormat="1" applyFont="1" applyFill="1" applyBorder="1" applyAlignment="1">
      <alignment horizontal="center" vertical="center"/>
    </xf>
    <xf numFmtId="49" fontId="6" fillId="3" borderId="3" xfId="0" applyNumberFormat="1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20</xdr:col>
      <xdr:colOff>443055</xdr:colOff>
      <xdr:row>20</xdr:row>
      <xdr:rowOff>15558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F8CEDA9-A6E3-077D-0CCD-F93C860A97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635055" cy="367315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2755E-FFD6-402B-BDC9-721F6D7B8B95}">
  <dimension ref="A1:B293"/>
  <sheetViews>
    <sheetView workbookViewId="0">
      <selection activeCell="A2" sqref="A2"/>
    </sheetView>
  </sheetViews>
  <sheetFormatPr defaultRowHeight="14.5" x14ac:dyDescent="0.35"/>
  <cols>
    <col min="1" max="1" width="44.1796875" bestFit="1" customWidth="1"/>
    <col min="2" max="2" width="12.453125" bestFit="1" customWidth="1"/>
  </cols>
  <sheetData>
    <row r="1" spans="1:2" x14ac:dyDescent="0.35">
      <c r="A1" s="4" t="s">
        <v>0</v>
      </c>
      <c r="B1" s="4" t="s">
        <v>1</v>
      </c>
    </row>
    <row r="2" spans="1:2" x14ac:dyDescent="0.35">
      <c r="A2" s="1" t="s">
        <v>2</v>
      </c>
      <c r="B2" s="2"/>
    </row>
    <row r="3" spans="1:2" x14ac:dyDescent="0.35">
      <c r="A3" s="1" t="s">
        <v>3</v>
      </c>
      <c r="B3" s="2"/>
    </row>
    <row r="4" spans="1:2" x14ac:dyDescent="0.35">
      <c r="A4" s="1" t="s">
        <v>4</v>
      </c>
      <c r="B4" s="2"/>
    </row>
    <row r="5" spans="1:2" x14ac:dyDescent="0.35">
      <c r="A5" s="1" t="s">
        <v>5</v>
      </c>
      <c r="B5" s="2"/>
    </row>
    <row r="6" spans="1:2" x14ac:dyDescent="0.35">
      <c r="A6" s="1" t="s">
        <v>6</v>
      </c>
      <c r="B6" s="2"/>
    </row>
    <row r="7" spans="1:2" x14ac:dyDescent="0.35">
      <c r="A7" s="1" t="s">
        <v>7</v>
      </c>
      <c r="B7" s="2"/>
    </row>
    <row r="8" spans="1:2" x14ac:dyDescent="0.35">
      <c r="A8" s="1" t="s">
        <v>8</v>
      </c>
      <c r="B8" s="2"/>
    </row>
    <row r="9" spans="1:2" x14ac:dyDescent="0.35">
      <c r="A9" s="1" t="s">
        <v>9</v>
      </c>
      <c r="B9" s="2"/>
    </row>
    <row r="10" spans="1:2" x14ac:dyDescent="0.35">
      <c r="A10" s="1" t="s">
        <v>10</v>
      </c>
      <c r="B10" s="2"/>
    </row>
    <row r="11" spans="1:2" x14ac:dyDescent="0.35">
      <c r="A11" s="1" t="s">
        <v>11</v>
      </c>
      <c r="B11" s="2"/>
    </row>
    <row r="12" spans="1:2" x14ac:dyDescent="0.35">
      <c r="A12" s="1" t="s">
        <v>12</v>
      </c>
      <c r="B12" s="2"/>
    </row>
    <row r="13" spans="1:2" x14ac:dyDescent="0.35">
      <c r="A13" s="1" t="s">
        <v>13</v>
      </c>
      <c r="B13" s="2"/>
    </row>
    <row r="14" spans="1:2" x14ac:dyDescent="0.35">
      <c r="A14" s="1" t="s">
        <v>14</v>
      </c>
      <c r="B14" s="2"/>
    </row>
    <row r="15" spans="1:2" x14ac:dyDescent="0.35">
      <c r="A15" s="1" t="s">
        <v>15</v>
      </c>
      <c r="B15" s="2"/>
    </row>
    <row r="16" spans="1:2" x14ac:dyDescent="0.35">
      <c r="A16" s="1" t="s">
        <v>16</v>
      </c>
      <c r="B16" s="2"/>
    </row>
    <row r="17" spans="1:2" x14ac:dyDescent="0.35">
      <c r="A17" s="1" t="s">
        <v>17</v>
      </c>
      <c r="B17" s="2"/>
    </row>
    <row r="18" spans="1:2" x14ac:dyDescent="0.35">
      <c r="A18" s="1" t="s">
        <v>18</v>
      </c>
      <c r="B18" s="2"/>
    </row>
    <row r="19" spans="1:2" x14ac:dyDescent="0.35">
      <c r="A19" s="1" t="s">
        <v>19</v>
      </c>
      <c r="B19" s="2"/>
    </row>
    <row r="20" spans="1:2" x14ac:dyDescent="0.35">
      <c r="A20" s="1" t="s">
        <v>20</v>
      </c>
      <c r="B20" s="2"/>
    </row>
    <row r="21" spans="1:2" ht="14.4" x14ac:dyDescent="0.3">
      <c r="A21" s="1" t="s">
        <v>21</v>
      </c>
      <c r="B21" s="2"/>
    </row>
    <row r="22" spans="1:2" ht="14.4" x14ac:dyDescent="0.3">
      <c r="A22" s="1" t="s">
        <v>22</v>
      </c>
      <c r="B22" s="2"/>
    </row>
    <row r="23" spans="1:2" ht="14.4" x14ac:dyDescent="0.3">
      <c r="A23" s="1" t="s">
        <v>23</v>
      </c>
      <c r="B23" s="2"/>
    </row>
    <row r="24" spans="1:2" ht="14.4" x14ac:dyDescent="0.3">
      <c r="A24" s="1" t="s">
        <v>24</v>
      </c>
      <c r="B24" s="2"/>
    </row>
    <row r="25" spans="1:2" ht="14.4" x14ac:dyDescent="0.3">
      <c r="A25" s="3" t="s">
        <v>25</v>
      </c>
      <c r="B25" s="2"/>
    </row>
    <row r="26" spans="1:2" ht="14.4" x14ac:dyDescent="0.3">
      <c r="A26" s="1" t="s">
        <v>26</v>
      </c>
      <c r="B26" s="2"/>
    </row>
    <row r="27" spans="1:2" ht="14.4" x14ac:dyDescent="0.3">
      <c r="A27" s="1" t="s">
        <v>27</v>
      </c>
      <c r="B27" s="2"/>
    </row>
    <row r="28" spans="1:2" ht="14.4" x14ac:dyDescent="0.3">
      <c r="A28" s="1" t="s">
        <v>28</v>
      </c>
      <c r="B28" s="2"/>
    </row>
    <row r="29" spans="1:2" ht="14.4" x14ac:dyDescent="0.3">
      <c r="A29" s="1" t="s">
        <v>29</v>
      </c>
      <c r="B29" s="2"/>
    </row>
    <row r="30" spans="1:2" ht="14.4" x14ac:dyDescent="0.3">
      <c r="A30" s="1" t="s">
        <v>30</v>
      </c>
      <c r="B30" s="2"/>
    </row>
    <row r="31" spans="1:2" ht="14.4" x14ac:dyDescent="0.3">
      <c r="A31" s="1" t="s">
        <v>31</v>
      </c>
      <c r="B31" s="2"/>
    </row>
    <row r="32" spans="1:2" ht="14.4" x14ac:dyDescent="0.3">
      <c r="A32" s="1" t="s">
        <v>32</v>
      </c>
      <c r="B32" s="2"/>
    </row>
    <row r="33" spans="1:2" ht="14.4" x14ac:dyDescent="0.3">
      <c r="A33" s="1" t="s">
        <v>33</v>
      </c>
      <c r="B33" s="2"/>
    </row>
    <row r="34" spans="1:2" ht="14.4" x14ac:dyDescent="0.3">
      <c r="A34" s="1" t="s">
        <v>34</v>
      </c>
      <c r="B34" s="2"/>
    </row>
    <row r="35" spans="1:2" ht="14.4" x14ac:dyDescent="0.3">
      <c r="A35" s="1" t="s">
        <v>35</v>
      </c>
      <c r="B35" s="2"/>
    </row>
    <row r="36" spans="1:2" ht="14.4" x14ac:dyDescent="0.3">
      <c r="A36" s="1" t="s">
        <v>36</v>
      </c>
      <c r="B36" s="2"/>
    </row>
    <row r="37" spans="1:2" ht="14.4" x14ac:dyDescent="0.3">
      <c r="A37" s="1" t="s">
        <v>37</v>
      </c>
      <c r="B37" s="2"/>
    </row>
    <row r="38" spans="1:2" ht="14.4" x14ac:dyDescent="0.3">
      <c r="A38" s="1" t="s">
        <v>38</v>
      </c>
      <c r="B38" s="2"/>
    </row>
    <row r="39" spans="1:2" ht="14.4" x14ac:dyDescent="0.3">
      <c r="A39" s="4" t="s">
        <v>39</v>
      </c>
      <c r="B39" s="5"/>
    </row>
    <row r="41" spans="1:2" ht="14.4" x14ac:dyDescent="0.3">
      <c r="A41" s="1" t="s">
        <v>40</v>
      </c>
      <c r="B41" s="2"/>
    </row>
    <row r="42" spans="1:2" ht="14.4" x14ac:dyDescent="0.3">
      <c r="A42" s="1" t="s">
        <v>41</v>
      </c>
      <c r="B42" s="2"/>
    </row>
    <row r="43" spans="1:2" ht="14.4" x14ac:dyDescent="0.3">
      <c r="A43" s="1" t="s">
        <v>42</v>
      </c>
      <c r="B43" s="2"/>
    </row>
    <row r="44" spans="1:2" ht="14.4" x14ac:dyDescent="0.3">
      <c r="A44" s="1" t="s">
        <v>43</v>
      </c>
      <c r="B44" s="2"/>
    </row>
    <row r="45" spans="1:2" ht="14.4" x14ac:dyDescent="0.3">
      <c r="A45" s="1" t="s">
        <v>44</v>
      </c>
      <c r="B45" s="2"/>
    </row>
    <row r="46" spans="1:2" ht="14.4" x14ac:dyDescent="0.3">
      <c r="A46" s="1" t="s">
        <v>45</v>
      </c>
      <c r="B46" s="2"/>
    </row>
    <row r="47" spans="1:2" ht="14.4" x14ac:dyDescent="0.3">
      <c r="A47" s="1" t="s">
        <v>46</v>
      </c>
      <c r="B47" s="2"/>
    </row>
    <row r="48" spans="1:2" ht="14.4" x14ac:dyDescent="0.3">
      <c r="A48" s="1" t="s">
        <v>47</v>
      </c>
      <c r="B48" s="2"/>
    </row>
    <row r="49" spans="1:2" ht="14.4" x14ac:dyDescent="0.3">
      <c r="A49" s="1" t="s">
        <v>48</v>
      </c>
      <c r="B49" s="2"/>
    </row>
    <row r="50" spans="1:2" ht="14.4" x14ac:dyDescent="0.3">
      <c r="A50" s="1" t="s">
        <v>49</v>
      </c>
      <c r="B50" s="2"/>
    </row>
    <row r="51" spans="1:2" ht="14.4" x14ac:dyDescent="0.3">
      <c r="A51" s="1" t="s">
        <v>50</v>
      </c>
      <c r="B51" s="2"/>
    </row>
    <row r="52" spans="1:2" ht="14.4" x14ac:dyDescent="0.3">
      <c r="A52" s="1" t="s">
        <v>51</v>
      </c>
      <c r="B52" s="2"/>
    </row>
    <row r="53" spans="1:2" ht="14.4" x14ac:dyDescent="0.3">
      <c r="A53" s="1" t="s">
        <v>52</v>
      </c>
      <c r="B53" s="2"/>
    </row>
    <row r="54" spans="1:2" ht="14.4" x14ac:dyDescent="0.3">
      <c r="A54" s="1" t="s">
        <v>53</v>
      </c>
      <c r="B54" s="2"/>
    </row>
    <row r="55" spans="1:2" ht="14.4" x14ac:dyDescent="0.3">
      <c r="A55" s="1" t="s">
        <v>54</v>
      </c>
      <c r="B55" s="2"/>
    </row>
    <row r="56" spans="1:2" ht="14.4" x14ac:dyDescent="0.3">
      <c r="A56" s="1" t="s">
        <v>55</v>
      </c>
      <c r="B56" s="2"/>
    </row>
    <row r="57" spans="1:2" ht="14.4" x14ac:dyDescent="0.3">
      <c r="A57" s="1" t="s">
        <v>56</v>
      </c>
      <c r="B57" s="2"/>
    </row>
    <row r="58" spans="1:2" ht="14.4" x14ac:dyDescent="0.3">
      <c r="A58" s="1" t="s">
        <v>57</v>
      </c>
      <c r="B58" s="2"/>
    </row>
    <row r="59" spans="1:2" ht="14.4" x14ac:dyDescent="0.3">
      <c r="A59" s="1" t="s">
        <v>58</v>
      </c>
      <c r="B59" s="2"/>
    </row>
    <row r="60" spans="1:2" ht="14.4" x14ac:dyDescent="0.3">
      <c r="A60" s="1" t="s">
        <v>59</v>
      </c>
      <c r="B60" s="2"/>
    </row>
    <row r="61" spans="1:2" ht="14.4" x14ac:dyDescent="0.3">
      <c r="A61" s="1" t="s">
        <v>60</v>
      </c>
      <c r="B61" s="2"/>
    </row>
    <row r="62" spans="1:2" ht="14.4" x14ac:dyDescent="0.3">
      <c r="A62" s="1" t="s">
        <v>61</v>
      </c>
      <c r="B62" s="2"/>
    </row>
    <row r="63" spans="1:2" ht="14.4" x14ac:dyDescent="0.3">
      <c r="A63" s="1" t="s">
        <v>62</v>
      </c>
      <c r="B63" s="2"/>
    </row>
    <row r="64" spans="1:2" ht="14.4" x14ac:dyDescent="0.3">
      <c r="A64" s="1" t="s">
        <v>63</v>
      </c>
      <c r="B64" s="2"/>
    </row>
    <row r="65" spans="1:2" ht="14.4" x14ac:dyDescent="0.3">
      <c r="A65" s="1" t="s">
        <v>64</v>
      </c>
      <c r="B65" s="2"/>
    </row>
    <row r="66" spans="1:2" ht="14.4" x14ac:dyDescent="0.3">
      <c r="A66" s="1" t="s">
        <v>65</v>
      </c>
      <c r="B66" s="2"/>
    </row>
    <row r="67" spans="1:2" ht="14.4" x14ac:dyDescent="0.3">
      <c r="A67" s="1" t="s">
        <v>66</v>
      </c>
      <c r="B67" s="2"/>
    </row>
    <row r="68" spans="1:2" ht="14.4" x14ac:dyDescent="0.3">
      <c r="A68" s="4" t="s">
        <v>67</v>
      </c>
      <c r="B68" s="5"/>
    </row>
    <row r="70" spans="1:2" ht="14.4" x14ac:dyDescent="0.3">
      <c r="A70" s="1" t="s">
        <v>68</v>
      </c>
      <c r="B70" s="2"/>
    </row>
    <row r="71" spans="1:2" ht="14.4" x14ac:dyDescent="0.3">
      <c r="A71" s="1" t="s">
        <v>69</v>
      </c>
      <c r="B71" s="2"/>
    </row>
    <row r="72" spans="1:2" ht="14.4" x14ac:dyDescent="0.3">
      <c r="A72" s="1" t="s">
        <v>70</v>
      </c>
      <c r="B72" s="2"/>
    </row>
    <row r="73" spans="1:2" ht="14.4" x14ac:dyDescent="0.3">
      <c r="A73" s="1" t="s">
        <v>71</v>
      </c>
      <c r="B73" s="2"/>
    </row>
    <row r="74" spans="1:2" ht="14.4" x14ac:dyDescent="0.3">
      <c r="A74" s="1" t="s">
        <v>72</v>
      </c>
      <c r="B74" s="2"/>
    </row>
    <row r="75" spans="1:2" ht="14.4" x14ac:dyDescent="0.3">
      <c r="A75" s="1" t="s">
        <v>73</v>
      </c>
      <c r="B75" s="2"/>
    </row>
    <row r="76" spans="1:2" ht="14.4" x14ac:dyDescent="0.3">
      <c r="A76" s="1" t="s">
        <v>74</v>
      </c>
      <c r="B76" s="2"/>
    </row>
    <row r="77" spans="1:2" ht="14.4" x14ac:dyDescent="0.3">
      <c r="A77" s="1" t="s">
        <v>75</v>
      </c>
      <c r="B77" s="2"/>
    </row>
    <row r="78" spans="1:2" ht="14.4" x14ac:dyDescent="0.3">
      <c r="A78" s="1" t="s">
        <v>68</v>
      </c>
      <c r="B78" s="2"/>
    </row>
    <row r="79" spans="1:2" ht="14.4" x14ac:dyDescent="0.3">
      <c r="A79" s="1" t="s">
        <v>76</v>
      </c>
      <c r="B79" s="2"/>
    </row>
    <row r="80" spans="1:2" ht="14.4" x14ac:dyDescent="0.3">
      <c r="A80" s="1" t="s">
        <v>77</v>
      </c>
      <c r="B80" s="2"/>
    </row>
    <row r="81" spans="1:2" ht="14.4" x14ac:dyDescent="0.3">
      <c r="A81" s="1" t="s">
        <v>78</v>
      </c>
      <c r="B81" s="2"/>
    </row>
    <row r="82" spans="1:2" ht="14.4" x14ac:dyDescent="0.3">
      <c r="A82" s="1" t="s">
        <v>79</v>
      </c>
      <c r="B82" s="2"/>
    </row>
    <row r="83" spans="1:2" ht="14.4" x14ac:dyDescent="0.3">
      <c r="A83" s="1" t="s">
        <v>80</v>
      </c>
      <c r="B83" s="2"/>
    </row>
    <row r="84" spans="1:2" ht="14.4" x14ac:dyDescent="0.3">
      <c r="A84" s="1" t="s">
        <v>81</v>
      </c>
      <c r="B84" s="2"/>
    </row>
    <row r="85" spans="1:2" ht="14.4" x14ac:dyDescent="0.3">
      <c r="A85" s="4" t="s">
        <v>82</v>
      </c>
      <c r="B85" s="5"/>
    </row>
    <row r="86" spans="1:2" ht="14.4" x14ac:dyDescent="0.3">
      <c r="A86" s="1"/>
      <c r="B86" s="2"/>
    </row>
    <row r="87" spans="1:2" ht="14.4" x14ac:dyDescent="0.3">
      <c r="A87" s="1" t="s">
        <v>83</v>
      </c>
      <c r="B87" s="2"/>
    </row>
    <row r="88" spans="1:2" ht="14.4" x14ac:dyDescent="0.3">
      <c r="A88" s="1" t="s">
        <v>84</v>
      </c>
      <c r="B88" s="2"/>
    </row>
    <row r="89" spans="1:2" ht="14.4" x14ac:dyDescent="0.3">
      <c r="A89" s="1" t="s">
        <v>85</v>
      </c>
      <c r="B89" s="2"/>
    </row>
    <row r="90" spans="1:2" ht="14.4" x14ac:dyDescent="0.3">
      <c r="A90" s="1" t="s">
        <v>86</v>
      </c>
      <c r="B90" s="2"/>
    </row>
    <row r="91" spans="1:2" ht="14.4" x14ac:dyDescent="0.3">
      <c r="A91" s="1" t="s">
        <v>87</v>
      </c>
      <c r="B91" s="2"/>
    </row>
    <row r="92" spans="1:2" ht="14.4" x14ac:dyDescent="0.3">
      <c r="A92" s="1" t="s">
        <v>88</v>
      </c>
      <c r="B92" s="2"/>
    </row>
    <row r="93" spans="1:2" ht="14.4" x14ac:dyDescent="0.3">
      <c r="A93" s="1" t="s">
        <v>89</v>
      </c>
      <c r="B93" s="2"/>
    </row>
    <row r="94" spans="1:2" ht="14.4" x14ac:dyDescent="0.3">
      <c r="A94" s="1" t="s">
        <v>90</v>
      </c>
      <c r="B94" s="2"/>
    </row>
    <row r="95" spans="1:2" ht="14.4" x14ac:dyDescent="0.3">
      <c r="A95" s="1" t="s">
        <v>91</v>
      </c>
      <c r="B95" s="2"/>
    </row>
    <row r="96" spans="1:2" ht="14.4" x14ac:dyDescent="0.3">
      <c r="A96" s="1" t="s">
        <v>92</v>
      </c>
      <c r="B96" s="2"/>
    </row>
    <row r="97" spans="1:2" ht="14.4" x14ac:dyDescent="0.3">
      <c r="A97" s="1" t="s">
        <v>93</v>
      </c>
      <c r="B97" s="2"/>
    </row>
    <row r="98" spans="1:2" ht="14.4" x14ac:dyDescent="0.3">
      <c r="A98" s="1" t="s">
        <v>94</v>
      </c>
      <c r="B98" s="2"/>
    </row>
    <row r="99" spans="1:2" ht="14.4" x14ac:dyDescent="0.3">
      <c r="A99" s="1" t="s">
        <v>95</v>
      </c>
      <c r="B99" s="2"/>
    </row>
    <row r="100" spans="1:2" ht="14.4" x14ac:dyDescent="0.3">
      <c r="A100" s="1" t="s">
        <v>96</v>
      </c>
      <c r="B100" s="2"/>
    </row>
    <row r="101" spans="1:2" ht="14.4" x14ac:dyDescent="0.3">
      <c r="A101" s="1" t="s">
        <v>97</v>
      </c>
      <c r="B101" s="2"/>
    </row>
    <row r="102" spans="1:2" ht="14.4" x14ac:dyDescent="0.3">
      <c r="A102" s="1" t="s">
        <v>98</v>
      </c>
      <c r="B102" s="2"/>
    </row>
    <row r="103" spans="1:2" ht="14.4" x14ac:dyDescent="0.3">
      <c r="A103" s="1" t="s">
        <v>99</v>
      </c>
      <c r="B103" s="2"/>
    </row>
    <row r="104" spans="1:2" ht="14.4" x14ac:dyDescent="0.3">
      <c r="A104" s="1" t="s">
        <v>100</v>
      </c>
      <c r="B104" s="2"/>
    </row>
    <row r="105" spans="1:2" ht="14.4" x14ac:dyDescent="0.3">
      <c r="A105" s="1" t="s">
        <v>101</v>
      </c>
      <c r="B105" s="2"/>
    </row>
    <row r="106" spans="1:2" ht="14.4" x14ac:dyDescent="0.3">
      <c r="A106" s="1" t="s">
        <v>102</v>
      </c>
      <c r="B106" s="2"/>
    </row>
    <row r="107" spans="1:2" ht="14.4" x14ac:dyDescent="0.3">
      <c r="A107" s="1" t="s">
        <v>103</v>
      </c>
      <c r="B107" s="2"/>
    </row>
    <row r="108" spans="1:2" ht="14.4" x14ac:dyDescent="0.3">
      <c r="A108" s="1" t="s">
        <v>104</v>
      </c>
      <c r="B108" s="2"/>
    </row>
    <row r="109" spans="1:2" ht="14.4" x14ac:dyDescent="0.3">
      <c r="A109" s="1" t="s">
        <v>105</v>
      </c>
      <c r="B109" s="2"/>
    </row>
    <row r="110" spans="1:2" ht="14.4" x14ac:dyDescent="0.3">
      <c r="A110" s="1" t="s">
        <v>106</v>
      </c>
      <c r="B110" s="2"/>
    </row>
    <row r="111" spans="1:2" ht="14.4" x14ac:dyDescent="0.3">
      <c r="A111" s="1" t="s">
        <v>107</v>
      </c>
      <c r="B111" s="2"/>
    </row>
    <row r="112" spans="1:2" ht="14.4" x14ac:dyDescent="0.3">
      <c r="A112" s="1" t="s">
        <v>108</v>
      </c>
      <c r="B112" s="2"/>
    </row>
    <row r="113" spans="1:2" ht="14.4" x14ac:dyDescent="0.3">
      <c r="A113" s="1" t="s">
        <v>109</v>
      </c>
      <c r="B113" s="2"/>
    </row>
    <row r="114" spans="1:2" ht="14.4" x14ac:dyDescent="0.3">
      <c r="A114" s="1" t="s">
        <v>110</v>
      </c>
      <c r="B114" s="2"/>
    </row>
    <row r="115" spans="1:2" ht="14.4" x14ac:dyDescent="0.3">
      <c r="A115" s="1" t="s">
        <v>111</v>
      </c>
      <c r="B115" s="2"/>
    </row>
    <row r="116" spans="1:2" ht="14.4" x14ac:dyDescent="0.3">
      <c r="A116" s="1" t="s">
        <v>112</v>
      </c>
      <c r="B116" s="2"/>
    </row>
    <row r="117" spans="1:2" ht="14.4" x14ac:dyDescent="0.3">
      <c r="A117" s="1" t="s">
        <v>113</v>
      </c>
      <c r="B117" s="2"/>
    </row>
    <row r="118" spans="1:2" ht="14.4" x14ac:dyDescent="0.3">
      <c r="A118" s="1" t="s">
        <v>114</v>
      </c>
      <c r="B118" s="2"/>
    </row>
    <row r="119" spans="1:2" ht="14.4" x14ac:dyDescent="0.3">
      <c r="A119" s="1" t="s">
        <v>115</v>
      </c>
      <c r="B119" s="2"/>
    </row>
    <row r="120" spans="1:2" ht="14.4" x14ac:dyDescent="0.3">
      <c r="A120" s="1" t="s">
        <v>116</v>
      </c>
      <c r="B120" s="2"/>
    </row>
    <row r="121" spans="1:2" ht="14.4" x14ac:dyDescent="0.3">
      <c r="A121" s="1" t="s">
        <v>117</v>
      </c>
      <c r="B121" s="2"/>
    </row>
    <row r="122" spans="1:2" ht="14.4" x14ac:dyDescent="0.3">
      <c r="A122" s="1" t="s">
        <v>118</v>
      </c>
      <c r="B122" s="2"/>
    </row>
    <row r="123" spans="1:2" ht="14.4" x14ac:dyDescent="0.3">
      <c r="A123" s="1" t="s">
        <v>119</v>
      </c>
      <c r="B123" s="2"/>
    </row>
    <row r="124" spans="1:2" ht="14.4" x14ac:dyDescent="0.3">
      <c r="A124" s="1" t="s">
        <v>120</v>
      </c>
      <c r="B124" s="2"/>
    </row>
    <row r="125" spans="1:2" ht="14.4" x14ac:dyDescent="0.3">
      <c r="A125" s="1" t="s">
        <v>121</v>
      </c>
      <c r="B125" s="2"/>
    </row>
    <row r="126" spans="1:2" ht="14.4" x14ac:dyDescent="0.3">
      <c r="A126" s="1" t="s">
        <v>122</v>
      </c>
      <c r="B126" s="2"/>
    </row>
    <row r="127" spans="1:2" ht="14.4" x14ac:dyDescent="0.3">
      <c r="A127" s="1" t="s">
        <v>123</v>
      </c>
      <c r="B127" s="2"/>
    </row>
    <row r="128" spans="1:2" ht="14.4" x14ac:dyDescent="0.3">
      <c r="A128" s="1" t="s">
        <v>124</v>
      </c>
      <c r="B128" s="2"/>
    </row>
    <row r="129" spans="1:2" ht="14.4" x14ac:dyDescent="0.3">
      <c r="A129" s="1" t="s">
        <v>125</v>
      </c>
      <c r="B129" s="2"/>
    </row>
    <row r="130" spans="1:2" ht="14.4" x14ac:dyDescent="0.3">
      <c r="A130" s="1" t="s">
        <v>126</v>
      </c>
      <c r="B130" s="2"/>
    </row>
    <row r="131" spans="1:2" ht="14.4" x14ac:dyDescent="0.3">
      <c r="A131" s="1" t="s">
        <v>127</v>
      </c>
      <c r="B131" s="2"/>
    </row>
    <row r="132" spans="1:2" ht="14.4" x14ac:dyDescent="0.3">
      <c r="A132" s="1" t="s">
        <v>128</v>
      </c>
      <c r="B132" s="2"/>
    </row>
    <row r="133" spans="1:2" ht="14.4" x14ac:dyDescent="0.3">
      <c r="A133" s="1" t="s">
        <v>129</v>
      </c>
      <c r="B133" s="2"/>
    </row>
    <row r="134" spans="1:2" ht="14.4" x14ac:dyDescent="0.3">
      <c r="A134" s="1" t="s">
        <v>130</v>
      </c>
      <c r="B134" s="2"/>
    </row>
    <row r="135" spans="1:2" ht="14.4" x14ac:dyDescent="0.3">
      <c r="A135" s="6" t="s">
        <v>131</v>
      </c>
      <c r="B135" s="2"/>
    </row>
    <row r="136" spans="1:2" ht="14.4" x14ac:dyDescent="0.3">
      <c r="A136" s="1" t="s">
        <v>132</v>
      </c>
      <c r="B136" s="2"/>
    </row>
    <row r="137" spans="1:2" ht="14.4" x14ac:dyDescent="0.3">
      <c r="A137" s="4" t="s">
        <v>133</v>
      </c>
      <c r="B137" s="2"/>
    </row>
    <row r="138" spans="1:2" ht="14.4" x14ac:dyDescent="0.3">
      <c r="A138" s="1"/>
      <c r="B138" s="2"/>
    </row>
    <row r="139" spans="1:2" ht="14.4" x14ac:dyDescent="0.3">
      <c r="A139" s="1" t="s">
        <v>134</v>
      </c>
      <c r="B139" s="2"/>
    </row>
    <row r="140" spans="1:2" ht="14.4" x14ac:dyDescent="0.3">
      <c r="A140" s="1" t="s">
        <v>135</v>
      </c>
      <c r="B140" s="2"/>
    </row>
    <row r="141" spans="1:2" ht="14.4" x14ac:dyDescent="0.3">
      <c r="A141" s="1" t="s">
        <v>136</v>
      </c>
      <c r="B141" s="2"/>
    </row>
    <row r="142" spans="1:2" ht="14.4" x14ac:dyDescent="0.3">
      <c r="A142" s="1" t="s">
        <v>137</v>
      </c>
      <c r="B142" s="2"/>
    </row>
    <row r="143" spans="1:2" ht="14.4" x14ac:dyDescent="0.3">
      <c r="A143" s="1" t="s">
        <v>138</v>
      </c>
      <c r="B143" s="2"/>
    </row>
    <row r="144" spans="1:2" ht="14.4" x14ac:dyDescent="0.3">
      <c r="A144" s="1" t="s">
        <v>139</v>
      </c>
      <c r="B144" s="2"/>
    </row>
    <row r="145" spans="1:2" ht="14.4" x14ac:dyDescent="0.3">
      <c r="A145" s="1" t="s">
        <v>140</v>
      </c>
      <c r="B145" s="2"/>
    </row>
    <row r="146" spans="1:2" ht="14.4" x14ac:dyDescent="0.3">
      <c r="A146" s="4" t="s">
        <v>141</v>
      </c>
      <c r="B146" s="2"/>
    </row>
    <row r="147" spans="1:2" ht="14.4" x14ac:dyDescent="0.3">
      <c r="A147" s="1"/>
      <c r="B147" s="2"/>
    </row>
    <row r="148" spans="1:2" ht="14.4" x14ac:dyDescent="0.3">
      <c r="A148" s="1" t="s">
        <v>142</v>
      </c>
      <c r="B148" s="2"/>
    </row>
    <row r="149" spans="1:2" ht="14.4" x14ac:dyDescent="0.3">
      <c r="A149" s="1" t="s">
        <v>143</v>
      </c>
      <c r="B149" s="2"/>
    </row>
    <row r="150" spans="1:2" ht="14.4" x14ac:dyDescent="0.3">
      <c r="A150" s="1" t="s">
        <v>144</v>
      </c>
      <c r="B150" s="2"/>
    </row>
    <row r="151" spans="1:2" ht="14.4" x14ac:dyDescent="0.3">
      <c r="A151" s="1" t="s">
        <v>145</v>
      </c>
      <c r="B151" s="2"/>
    </row>
    <row r="152" spans="1:2" ht="14.4" x14ac:dyDescent="0.3">
      <c r="A152" s="1" t="s">
        <v>146</v>
      </c>
      <c r="B152" s="2"/>
    </row>
    <row r="153" spans="1:2" ht="14.4" x14ac:dyDescent="0.3">
      <c r="A153" s="1" t="s">
        <v>147</v>
      </c>
      <c r="B153" s="2"/>
    </row>
    <row r="154" spans="1:2" ht="14.4" x14ac:dyDescent="0.3">
      <c r="A154" s="1" t="s">
        <v>148</v>
      </c>
      <c r="B154" s="2"/>
    </row>
    <row r="155" spans="1:2" ht="14.4" x14ac:dyDescent="0.3">
      <c r="A155" s="1" t="s">
        <v>149</v>
      </c>
      <c r="B155" s="2"/>
    </row>
    <row r="156" spans="1:2" ht="14.4" x14ac:dyDescent="0.3">
      <c r="A156" s="1" t="s">
        <v>150</v>
      </c>
      <c r="B156" s="2"/>
    </row>
    <row r="157" spans="1:2" ht="14.4" x14ac:dyDescent="0.3">
      <c r="A157" s="1" t="s">
        <v>151</v>
      </c>
      <c r="B157" s="2"/>
    </row>
    <row r="158" spans="1:2" ht="14.4" x14ac:dyDescent="0.3">
      <c r="A158" s="1" t="s">
        <v>152</v>
      </c>
      <c r="B158" s="2"/>
    </row>
    <row r="159" spans="1:2" ht="14.4" x14ac:dyDescent="0.3">
      <c r="A159" s="1" t="s">
        <v>153</v>
      </c>
      <c r="B159" s="2"/>
    </row>
    <row r="160" spans="1:2" ht="14.4" x14ac:dyDescent="0.3">
      <c r="A160" s="1" t="s">
        <v>154</v>
      </c>
      <c r="B160" s="2"/>
    </row>
    <row r="161" spans="1:2" ht="14.4" x14ac:dyDescent="0.3">
      <c r="A161" s="1" t="s">
        <v>155</v>
      </c>
      <c r="B161" s="2"/>
    </row>
    <row r="162" spans="1:2" ht="14.4" x14ac:dyDescent="0.3">
      <c r="A162" s="1" t="s">
        <v>156</v>
      </c>
      <c r="B162" s="2"/>
    </row>
    <row r="163" spans="1:2" ht="14.4" x14ac:dyDescent="0.3">
      <c r="A163" s="1" t="s">
        <v>157</v>
      </c>
      <c r="B163" s="2"/>
    </row>
    <row r="164" spans="1:2" ht="14.4" x14ac:dyDescent="0.3">
      <c r="A164" s="1" t="s">
        <v>158</v>
      </c>
      <c r="B164" s="2"/>
    </row>
    <row r="165" spans="1:2" ht="14.4" x14ac:dyDescent="0.3">
      <c r="A165" s="1" t="s">
        <v>159</v>
      </c>
      <c r="B165" s="2"/>
    </row>
    <row r="166" spans="1:2" ht="14.4" x14ac:dyDescent="0.3">
      <c r="A166" s="1" t="s">
        <v>160</v>
      </c>
      <c r="B166" s="2"/>
    </row>
    <row r="167" spans="1:2" ht="14.4" x14ac:dyDescent="0.3">
      <c r="A167" s="1" t="s">
        <v>161</v>
      </c>
      <c r="B167" s="2"/>
    </row>
    <row r="168" spans="1:2" ht="14.4" x14ac:dyDescent="0.3">
      <c r="A168" s="1" t="s">
        <v>162</v>
      </c>
      <c r="B168" s="2"/>
    </row>
    <row r="169" spans="1:2" ht="14.4" x14ac:dyDescent="0.3">
      <c r="A169" s="1" t="s">
        <v>163</v>
      </c>
      <c r="B169" s="2"/>
    </row>
    <row r="170" spans="1:2" ht="14.4" x14ac:dyDescent="0.3">
      <c r="A170" s="1" t="s">
        <v>164</v>
      </c>
      <c r="B170" s="2"/>
    </row>
    <row r="171" spans="1:2" ht="14.4" x14ac:dyDescent="0.3">
      <c r="A171" s="1" t="s">
        <v>165</v>
      </c>
      <c r="B171" s="2"/>
    </row>
    <row r="172" spans="1:2" ht="14.4" x14ac:dyDescent="0.3">
      <c r="A172" s="1" t="s">
        <v>166</v>
      </c>
      <c r="B172" s="2"/>
    </row>
    <row r="173" spans="1:2" ht="14.4" x14ac:dyDescent="0.3">
      <c r="A173" s="1" t="s">
        <v>167</v>
      </c>
      <c r="B173" s="2"/>
    </row>
    <row r="174" spans="1:2" ht="14.4" x14ac:dyDescent="0.3">
      <c r="A174" s="1" t="s">
        <v>168</v>
      </c>
      <c r="B174" s="2"/>
    </row>
    <row r="175" spans="1:2" ht="14.4" x14ac:dyDescent="0.3">
      <c r="A175" s="1" t="s">
        <v>169</v>
      </c>
      <c r="B175" s="2"/>
    </row>
    <row r="176" spans="1:2" ht="14.4" x14ac:dyDescent="0.3">
      <c r="A176" s="1" t="s">
        <v>170</v>
      </c>
      <c r="B176" s="2"/>
    </row>
    <row r="177" spans="1:2" ht="14.4" x14ac:dyDescent="0.3">
      <c r="A177" s="1" t="s">
        <v>171</v>
      </c>
      <c r="B177" s="2"/>
    </row>
    <row r="178" spans="1:2" ht="14.4" x14ac:dyDescent="0.3">
      <c r="A178" s="4" t="s">
        <v>172</v>
      </c>
      <c r="B178" s="5"/>
    </row>
    <row r="179" spans="1:2" ht="14.4" x14ac:dyDescent="0.3">
      <c r="A179" s="1"/>
      <c r="B179" s="2"/>
    </row>
    <row r="180" spans="1:2" ht="14.4" x14ac:dyDescent="0.3">
      <c r="A180" s="1" t="s">
        <v>173</v>
      </c>
      <c r="B180" s="2"/>
    </row>
    <row r="181" spans="1:2" ht="14.4" x14ac:dyDescent="0.3">
      <c r="A181" s="1" t="s">
        <v>174</v>
      </c>
      <c r="B181" s="2"/>
    </row>
    <row r="182" spans="1:2" ht="14.4" x14ac:dyDescent="0.3">
      <c r="A182" s="1" t="s">
        <v>175</v>
      </c>
      <c r="B182" s="2"/>
    </row>
    <row r="183" spans="1:2" ht="14.4" x14ac:dyDescent="0.3">
      <c r="A183" s="1" t="s">
        <v>176</v>
      </c>
      <c r="B183" s="2"/>
    </row>
    <row r="184" spans="1:2" ht="14.4" x14ac:dyDescent="0.3">
      <c r="A184" s="1" t="s">
        <v>177</v>
      </c>
      <c r="B184" s="2"/>
    </row>
    <row r="185" spans="1:2" ht="14.4" x14ac:dyDescent="0.3">
      <c r="A185" s="1" t="s">
        <v>178</v>
      </c>
      <c r="B185" s="2"/>
    </row>
    <row r="186" spans="1:2" ht="14.4" x14ac:dyDescent="0.3">
      <c r="A186" s="1" t="s">
        <v>179</v>
      </c>
      <c r="B186" s="2"/>
    </row>
    <row r="187" spans="1:2" ht="14.4" x14ac:dyDescent="0.3">
      <c r="A187" s="1" t="s">
        <v>180</v>
      </c>
      <c r="B187" s="2"/>
    </row>
    <row r="188" spans="1:2" ht="14.4" x14ac:dyDescent="0.3">
      <c r="A188" s="1" t="s">
        <v>181</v>
      </c>
      <c r="B188" s="2"/>
    </row>
    <row r="189" spans="1:2" ht="14.4" x14ac:dyDescent="0.3">
      <c r="A189" s="1" t="s">
        <v>182</v>
      </c>
      <c r="B189" s="2"/>
    </row>
    <row r="190" spans="1:2" ht="14.4" x14ac:dyDescent="0.3">
      <c r="A190" s="1" t="s">
        <v>183</v>
      </c>
      <c r="B190" s="2"/>
    </row>
    <row r="191" spans="1:2" ht="14.4" x14ac:dyDescent="0.3">
      <c r="A191" s="1" t="s">
        <v>184</v>
      </c>
      <c r="B191" s="2"/>
    </row>
    <row r="192" spans="1:2" ht="14.4" x14ac:dyDescent="0.3">
      <c r="A192" s="1" t="s">
        <v>185</v>
      </c>
      <c r="B192" s="2"/>
    </row>
    <row r="193" spans="1:2" ht="14.4" x14ac:dyDescent="0.3">
      <c r="A193" s="1" t="s">
        <v>186</v>
      </c>
      <c r="B193" s="2"/>
    </row>
    <row r="194" spans="1:2" ht="14.4" x14ac:dyDescent="0.3">
      <c r="A194" s="1" t="s">
        <v>187</v>
      </c>
      <c r="B194" s="2"/>
    </row>
    <row r="195" spans="1:2" ht="14.4" x14ac:dyDescent="0.3">
      <c r="A195" s="1" t="s">
        <v>188</v>
      </c>
      <c r="B195" s="2"/>
    </row>
    <row r="196" spans="1:2" ht="14.4" x14ac:dyDescent="0.3">
      <c r="A196" s="1" t="s">
        <v>189</v>
      </c>
      <c r="B196" s="2"/>
    </row>
    <row r="197" spans="1:2" ht="14.4" x14ac:dyDescent="0.3">
      <c r="A197" s="1" t="s">
        <v>190</v>
      </c>
      <c r="B197" s="2"/>
    </row>
    <row r="198" spans="1:2" ht="14.4" x14ac:dyDescent="0.3">
      <c r="A198" s="1" t="s">
        <v>191</v>
      </c>
      <c r="B198" s="2"/>
    </row>
    <row r="199" spans="1:2" ht="14.4" x14ac:dyDescent="0.3">
      <c r="A199" s="1" t="s">
        <v>192</v>
      </c>
      <c r="B199" s="2"/>
    </row>
    <row r="200" spans="1:2" ht="14.4" x14ac:dyDescent="0.3">
      <c r="A200" s="1" t="s">
        <v>193</v>
      </c>
      <c r="B200" s="2"/>
    </row>
    <row r="201" spans="1:2" ht="14.4" x14ac:dyDescent="0.3">
      <c r="A201" s="1" t="s">
        <v>194</v>
      </c>
      <c r="B201" s="2"/>
    </row>
    <row r="202" spans="1:2" ht="14.4" x14ac:dyDescent="0.3">
      <c r="A202" s="1" t="s">
        <v>195</v>
      </c>
      <c r="B202" s="2"/>
    </row>
    <row r="203" spans="1:2" ht="14.4" x14ac:dyDescent="0.3">
      <c r="A203" s="1" t="s">
        <v>196</v>
      </c>
      <c r="B203" s="2"/>
    </row>
    <row r="204" spans="1:2" ht="14.4" x14ac:dyDescent="0.3">
      <c r="A204" s="1" t="s">
        <v>197</v>
      </c>
      <c r="B204" s="2"/>
    </row>
    <row r="205" spans="1:2" ht="14.4" x14ac:dyDescent="0.3">
      <c r="A205" s="1" t="s">
        <v>198</v>
      </c>
      <c r="B205" s="2"/>
    </row>
    <row r="206" spans="1:2" ht="14.4" x14ac:dyDescent="0.3">
      <c r="A206" s="1" t="s">
        <v>199</v>
      </c>
      <c r="B206" s="2"/>
    </row>
    <row r="207" spans="1:2" ht="14.4" x14ac:dyDescent="0.3">
      <c r="A207" s="1" t="s">
        <v>200</v>
      </c>
      <c r="B207" s="2"/>
    </row>
    <row r="208" spans="1:2" ht="14.4" x14ac:dyDescent="0.3">
      <c r="A208" s="1" t="s">
        <v>201</v>
      </c>
      <c r="B208" s="2"/>
    </row>
    <row r="209" spans="1:2" ht="14.4" x14ac:dyDescent="0.3">
      <c r="A209" s="1" t="s">
        <v>202</v>
      </c>
      <c r="B209" s="2"/>
    </row>
    <row r="210" spans="1:2" ht="14.4" x14ac:dyDescent="0.3">
      <c r="A210" s="1" t="s">
        <v>203</v>
      </c>
      <c r="B210" s="2"/>
    </row>
    <row r="211" spans="1:2" ht="14.4" x14ac:dyDescent="0.3">
      <c r="A211" s="1" t="s">
        <v>204</v>
      </c>
      <c r="B211" s="2"/>
    </row>
    <row r="212" spans="1:2" ht="14.4" x14ac:dyDescent="0.3">
      <c r="A212" s="1" t="s">
        <v>205</v>
      </c>
      <c r="B212" s="2"/>
    </row>
    <row r="213" spans="1:2" ht="14.4" x14ac:dyDescent="0.3">
      <c r="A213" s="1" t="s">
        <v>206</v>
      </c>
      <c r="B213" s="2"/>
    </row>
    <row r="214" spans="1:2" ht="14.4" x14ac:dyDescent="0.3">
      <c r="A214" s="1" t="s">
        <v>207</v>
      </c>
      <c r="B214" s="2"/>
    </row>
    <row r="215" spans="1:2" ht="14.4" x14ac:dyDescent="0.3">
      <c r="A215" s="1" t="s">
        <v>208</v>
      </c>
      <c r="B215" s="2"/>
    </row>
    <row r="216" spans="1:2" ht="14.4" x14ac:dyDescent="0.3">
      <c r="A216" s="1" t="s">
        <v>209</v>
      </c>
      <c r="B216" s="2"/>
    </row>
    <row r="217" spans="1:2" ht="14.4" x14ac:dyDescent="0.3">
      <c r="A217" s="1" t="s">
        <v>149</v>
      </c>
      <c r="B217" s="2"/>
    </row>
    <row r="218" spans="1:2" ht="14.4" x14ac:dyDescent="0.3">
      <c r="A218" s="1" t="s">
        <v>210</v>
      </c>
      <c r="B218" s="2"/>
    </row>
    <row r="219" spans="1:2" ht="14.4" x14ac:dyDescent="0.3">
      <c r="A219" s="1" t="s">
        <v>211</v>
      </c>
      <c r="B219" s="2"/>
    </row>
    <row r="220" spans="1:2" ht="14.4" x14ac:dyDescent="0.3">
      <c r="A220" s="1" t="s">
        <v>212</v>
      </c>
      <c r="B220" s="2"/>
    </row>
    <row r="221" spans="1:2" ht="14.4" x14ac:dyDescent="0.3">
      <c r="A221" s="1" t="s">
        <v>213</v>
      </c>
      <c r="B221" s="2"/>
    </row>
    <row r="222" spans="1:2" ht="14.4" x14ac:dyDescent="0.3">
      <c r="A222" s="1" t="s">
        <v>214</v>
      </c>
      <c r="B222" s="2"/>
    </row>
    <row r="223" spans="1:2" ht="14.4" x14ac:dyDescent="0.3">
      <c r="A223" s="1" t="s">
        <v>215</v>
      </c>
      <c r="B223" s="2"/>
    </row>
    <row r="224" spans="1:2" ht="14.4" x14ac:dyDescent="0.3">
      <c r="A224" s="1" t="s">
        <v>216</v>
      </c>
      <c r="B224" s="2"/>
    </row>
    <row r="225" spans="1:2" ht="14.4" x14ac:dyDescent="0.3">
      <c r="A225" s="1" t="s">
        <v>217</v>
      </c>
      <c r="B225" s="2"/>
    </row>
    <row r="226" spans="1:2" ht="14.4" x14ac:dyDescent="0.3">
      <c r="A226" s="1" t="s">
        <v>154</v>
      </c>
      <c r="B226" s="2"/>
    </row>
    <row r="227" spans="1:2" ht="14.4" x14ac:dyDescent="0.3">
      <c r="A227" s="1" t="s">
        <v>155</v>
      </c>
      <c r="B227" s="2"/>
    </row>
    <row r="228" spans="1:2" ht="14.4" x14ac:dyDescent="0.3">
      <c r="A228" s="1" t="s">
        <v>218</v>
      </c>
      <c r="B228" s="2"/>
    </row>
    <row r="229" spans="1:2" ht="14.4" x14ac:dyDescent="0.3">
      <c r="A229" s="1" t="s">
        <v>157</v>
      </c>
      <c r="B229" s="2"/>
    </row>
    <row r="230" spans="1:2" ht="14.4" x14ac:dyDescent="0.3">
      <c r="A230" s="1" t="s">
        <v>219</v>
      </c>
      <c r="B230" s="2"/>
    </row>
    <row r="231" spans="1:2" ht="14.4" x14ac:dyDescent="0.3">
      <c r="A231" s="1" t="s">
        <v>220</v>
      </c>
      <c r="B231" s="2"/>
    </row>
    <row r="232" spans="1:2" ht="14.4" x14ac:dyDescent="0.3">
      <c r="A232" s="1" t="s">
        <v>221</v>
      </c>
      <c r="B232" s="2"/>
    </row>
    <row r="233" spans="1:2" ht="14.4" x14ac:dyDescent="0.3">
      <c r="A233" s="1" t="s">
        <v>222</v>
      </c>
      <c r="B233" s="2"/>
    </row>
    <row r="234" spans="1:2" ht="14.4" x14ac:dyDescent="0.3">
      <c r="A234" s="1" t="s">
        <v>223</v>
      </c>
      <c r="B234" s="2"/>
    </row>
    <row r="235" spans="1:2" ht="14.4" x14ac:dyDescent="0.3">
      <c r="A235" s="1" t="s">
        <v>224</v>
      </c>
      <c r="B235" s="2"/>
    </row>
    <row r="236" spans="1:2" ht="14.4" x14ac:dyDescent="0.3">
      <c r="A236" s="1" t="s">
        <v>225</v>
      </c>
      <c r="B236" s="2"/>
    </row>
    <row r="237" spans="1:2" ht="14.4" x14ac:dyDescent="0.3">
      <c r="A237" s="1" t="s">
        <v>226</v>
      </c>
      <c r="B237" s="2"/>
    </row>
    <row r="238" spans="1:2" ht="14.4" x14ac:dyDescent="0.3">
      <c r="A238" s="1" t="s">
        <v>227</v>
      </c>
      <c r="B238" s="2"/>
    </row>
    <row r="239" spans="1:2" ht="14.4" x14ac:dyDescent="0.3">
      <c r="A239" s="1" t="s">
        <v>228</v>
      </c>
      <c r="B239" s="2"/>
    </row>
    <row r="240" spans="1:2" ht="14.4" x14ac:dyDescent="0.3">
      <c r="A240" s="1" t="s">
        <v>229</v>
      </c>
      <c r="B240" s="2"/>
    </row>
    <row r="241" spans="1:2" ht="14.4" x14ac:dyDescent="0.3">
      <c r="A241" s="1" t="s">
        <v>230</v>
      </c>
      <c r="B241" s="2"/>
    </row>
    <row r="242" spans="1:2" ht="14.4" x14ac:dyDescent="0.3">
      <c r="A242" s="1" t="s">
        <v>231</v>
      </c>
      <c r="B242" s="2"/>
    </row>
    <row r="243" spans="1:2" ht="14.4" x14ac:dyDescent="0.3">
      <c r="A243" s="1" t="s">
        <v>232</v>
      </c>
      <c r="B243" s="2"/>
    </row>
    <row r="244" spans="1:2" ht="14.4" x14ac:dyDescent="0.3">
      <c r="A244" s="1" t="s">
        <v>233</v>
      </c>
      <c r="B244" s="2"/>
    </row>
    <row r="245" spans="1:2" ht="14.4" x14ac:dyDescent="0.3">
      <c r="A245" s="1" t="s">
        <v>234</v>
      </c>
      <c r="B245" s="2"/>
    </row>
    <row r="246" spans="1:2" ht="14.4" x14ac:dyDescent="0.3">
      <c r="A246" s="1" t="s">
        <v>162</v>
      </c>
      <c r="B246" s="2"/>
    </row>
    <row r="247" spans="1:2" ht="14.4" x14ac:dyDescent="0.3">
      <c r="A247" s="1" t="s">
        <v>235</v>
      </c>
      <c r="B247" s="2"/>
    </row>
    <row r="248" spans="1:2" ht="14.4" x14ac:dyDescent="0.3">
      <c r="A248" s="1" t="s">
        <v>236</v>
      </c>
      <c r="B248" s="2"/>
    </row>
    <row r="249" spans="1:2" ht="14.4" x14ac:dyDescent="0.3">
      <c r="A249" s="1" t="s">
        <v>237</v>
      </c>
      <c r="B249" s="2"/>
    </row>
    <row r="250" spans="1:2" ht="14.4" x14ac:dyDescent="0.3">
      <c r="A250" s="1" t="s">
        <v>238</v>
      </c>
      <c r="B250" s="2"/>
    </row>
    <row r="251" spans="1:2" ht="14.4" x14ac:dyDescent="0.3">
      <c r="A251" s="1" t="s">
        <v>239</v>
      </c>
      <c r="B251" s="2"/>
    </row>
    <row r="252" spans="1:2" ht="14.4" x14ac:dyDescent="0.3">
      <c r="A252" s="1" t="s">
        <v>240</v>
      </c>
      <c r="B252" s="2"/>
    </row>
    <row r="253" spans="1:2" ht="14.4" x14ac:dyDescent="0.3">
      <c r="A253" s="1" t="s">
        <v>241</v>
      </c>
      <c r="B253" s="2"/>
    </row>
    <row r="254" spans="1:2" ht="14.4" x14ac:dyDescent="0.3">
      <c r="A254" s="1" t="s">
        <v>242</v>
      </c>
      <c r="B254" s="2"/>
    </row>
    <row r="255" spans="1:2" ht="14.4" x14ac:dyDescent="0.3">
      <c r="A255" s="1" t="s">
        <v>243</v>
      </c>
      <c r="B255" s="2"/>
    </row>
    <row r="256" spans="1:2" ht="14.4" x14ac:dyDescent="0.3">
      <c r="A256" s="1" t="s">
        <v>244</v>
      </c>
      <c r="B256" s="2"/>
    </row>
    <row r="257" spans="1:2" ht="14.4" x14ac:dyDescent="0.3">
      <c r="A257" s="1" t="s">
        <v>245</v>
      </c>
      <c r="B257" s="2"/>
    </row>
    <row r="258" spans="1:2" ht="14.4" x14ac:dyDescent="0.3">
      <c r="A258" s="1" t="s">
        <v>246</v>
      </c>
      <c r="B258" s="2"/>
    </row>
    <row r="259" spans="1:2" ht="14.4" x14ac:dyDescent="0.3">
      <c r="A259" s="1" t="s">
        <v>247</v>
      </c>
      <c r="B259" s="2"/>
    </row>
    <row r="260" spans="1:2" ht="14.4" x14ac:dyDescent="0.3">
      <c r="A260" s="1" t="s">
        <v>248</v>
      </c>
      <c r="B260" s="2"/>
    </row>
    <row r="261" spans="1:2" ht="14.4" x14ac:dyDescent="0.3">
      <c r="A261" s="1" t="s">
        <v>249</v>
      </c>
      <c r="B261" s="2"/>
    </row>
    <row r="262" spans="1:2" ht="14.4" x14ac:dyDescent="0.3">
      <c r="A262" s="1" t="s">
        <v>250</v>
      </c>
      <c r="B262" s="2"/>
    </row>
    <row r="263" spans="1:2" ht="14.4" x14ac:dyDescent="0.3">
      <c r="A263" s="1" t="s">
        <v>251</v>
      </c>
      <c r="B263" s="2"/>
    </row>
    <row r="264" spans="1:2" ht="14.4" x14ac:dyDescent="0.3">
      <c r="A264" s="1" t="s">
        <v>252</v>
      </c>
      <c r="B264" s="2"/>
    </row>
    <row r="265" spans="1:2" ht="14.4" x14ac:dyDescent="0.3">
      <c r="A265" s="1" t="s">
        <v>253</v>
      </c>
      <c r="B265" s="2"/>
    </row>
    <row r="266" spans="1:2" ht="14.4" x14ac:dyDescent="0.3">
      <c r="A266" s="1" t="s">
        <v>254</v>
      </c>
      <c r="B266" s="2"/>
    </row>
    <row r="267" spans="1:2" ht="14.4" x14ac:dyDescent="0.3">
      <c r="A267" s="1" t="s">
        <v>255</v>
      </c>
      <c r="B267" s="2"/>
    </row>
    <row r="268" spans="1:2" ht="14.4" x14ac:dyDescent="0.3">
      <c r="A268" s="1" t="s">
        <v>256</v>
      </c>
      <c r="B268" s="2"/>
    </row>
    <row r="269" spans="1:2" ht="14.4" x14ac:dyDescent="0.3">
      <c r="A269" s="1" t="s">
        <v>257</v>
      </c>
      <c r="B269" s="2"/>
    </row>
    <row r="270" spans="1:2" ht="14.4" x14ac:dyDescent="0.3">
      <c r="A270" s="1" t="s">
        <v>258</v>
      </c>
      <c r="B270" s="2"/>
    </row>
    <row r="271" spans="1:2" ht="14.4" x14ac:dyDescent="0.3">
      <c r="A271" s="6" t="s">
        <v>259</v>
      </c>
      <c r="B271" s="2"/>
    </row>
    <row r="272" spans="1:2" ht="14.4" x14ac:dyDescent="0.3">
      <c r="A272" s="1" t="s">
        <v>260</v>
      </c>
      <c r="B272" s="2"/>
    </row>
    <row r="273" spans="1:2" ht="14.4" x14ac:dyDescent="0.3">
      <c r="A273" s="1" t="s">
        <v>261</v>
      </c>
      <c r="B273" s="2"/>
    </row>
    <row r="274" spans="1:2" ht="14.4" x14ac:dyDescent="0.3">
      <c r="A274" s="1" t="s">
        <v>262</v>
      </c>
      <c r="B274" s="2"/>
    </row>
    <row r="275" spans="1:2" ht="14.4" x14ac:dyDescent="0.3">
      <c r="A275" s="4" t="s">
        <v>263</v>
      </c>
      <c r="B275" s="5"/>
    </row>
    <row r="276" spans="1:2" ht="14.4" x14ac:dyDescent="0.3">
      <c r="A276" s="1"/>
      <c r="B276" s="2"/>
    </row>
    <row r="277" spans="1:2" ht="14.4" x14ac:dyDescent="0.3">
      <c r="A277" s="4" t="s">
        <v>264</v>
      </c>
      <c r="B277" s="5"/>
    </row>
    <row r="278" spans="1:2" ht="14.4" x14ac:dyDescent="0.3">
      <c r="A278" s="1"/>
      <c r="B278" s="2"/>
    </row>
    <row r="279" spans="1:2" ht="14.4" x14ac:dyDescent="0.3">
      <c r="A279" s="1" t="s">
        <v>265</v>
      </c>
      <c r="B279" s="2"/>
    </row>
    <row r="280" spans="1:2" ht="14.4" x14ac:dyDescent="0.3">
      <c r="A280" s="1" t="s">
        <v>266</v>
      </c>
      <c r="B280" s="2"/>
    </row>
    <row r="281" spans="1:2" ht="14.4" x14ac:dyDescent="0.3">
      <c r="A281" s="1"/>
      <c r="B281" s="2"/>
    </row>
    <row r="282" spans="1:2" ht="14.4" x14ac:dyDescent="0.3">
      <c r="A282" s="4" t="s">
        <v>267</v>
      </c>
      <c r="B282" s="5"/>
    </row>
    <row r="283" spans="1:2" ht="14.4" x14ac:dyDescent="0.3">
      <c r="A283" s="1"/>
      <c r="B283" s="2"/>
    </row>
    <row r="284" spans="1:2" ht="14.4" x14ac:dyDescent="0.3">
      <c r="A284" s="4" t="s">
        <v>268</v>
      </c>
      <c r="B284" s="5"/>
    </row>
    <row r="285" spans="1:2" ht="14.4" x14ac:dyDescent="0.3">
      <c r="A285" s="1" t="s">
        <v>269</v>
      </c>
      <c r="B285" s="2"/>
    </row>
    <row r="286" spans="1:2" ht="14.4" x14ac:dyDescent="0.3">
      <c r="A286" s="1"/>
      <c r="B286" s="2"/>
    </row>
    <row r="287" spans="1:2" ht="14.4" x14ac:dyDescent="0.3">
      <c r="A287" s="4" t="s">
        <v>273</v>
      </c>
      <c r="B287" s="5"/>
    </row>
    <row r="288" spans="1:2" ht="14.4" x14ac:dyDescent="0.3">
      <c r="A288" s="1"/>
      <c r="B288" s="2"/>
    </row>
    <row r="289" spans="1:2" ht="14.4" x14ac:dyDescent="0.3">
      <c r="A289" s="4" t="s">
        <v>270</v>
      </c>
      <c r="B289" s="5"/>
    </row>
    <row r="290" spans="1:2" ht="14.4" x14ac:dyDescent="0.3">
      <c r="A290" s="1"/>
      <c r="B290" s="2"/>
    </row>
    <row r="291" spans="1:2" ht="14.4" x14ac:dyDescent="0.3">
      <c r="A291" s="2" t="s">
        <v>271</v>
      </c>
      <c r="B291" s="2"/>
    </row>
    <row r="292" spans="1:2" ht="14.4" x14ac:dyDescent="0.3">
      <c r="A292" s="2"/>
      <c r="B292" s="2"/>
    </row>
    <row r="293" spans="1:2" ht="14.4" x14ac:dyDescent="0.3">
      <c r="A293" s="4" t="s">
        <v>272</v>
      </c>
      <c r="B293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D2898-2AEC-405A-A6E7-1F2FFCB6711C}">
  <dimension ref="A1:Q307"/>
  <sheetViews>
    <sheetView tabSelected="1" zoomScale="80" zoomScaleNormal="80" workbookViewId="0">
      <selection activeCell="A7" sqref="A7"/>
    </sheetView>
  </sheetViews>
  <sheetFormatPr defaultRowHeight="14.5" x14ac:dyDescent="0.35"/>
  <cols>
    <col min="1" max="1" width="17.81640625" bestFit="1" customWidth="1"/>
    <col min="3" max="3" width="46.36328125" bestFit="1" customWidth="1"/>
    <col min="4" max="10" width="13.08984375" bestFit="1" customWidth="1"/>
    <col min="11" max="11" width="12" bestFit="1" customWidth="1"/>
    <col min="12" max="14" width="13.08984375" bestFit="1" customWidth="1"/>
    <col min="15" max="15" width="13.6328125" bestFit="1" customWidth="1"/>
  </cols>
  <sheetData>
    <row r="1" spans="1:16" x14ac:dyDescent="0.35">
      <c r="A1" s="43" t="s">
        <v>457</v>
      </c>
      <c r="B1" s="43" t="s">
        <v>444</v>
      </c>
      <c r="C1" s="43" t="s">
        <v>0</v>
      </c>
      <c r="D1" s="45">
        <v>45658</v>
      </c>
      <c r="E1" s="45">
        <v>45689</v>
      </c>
      <c r="F1" s="45">
        <v>45717</v>
      </c>
      <c r="G1" s="45">
        <v>45748</v>
      </c>
      <c r="H1" s="45">
        <v>45778</v>
      </c>
      <c r="I1" s="45">
        <v>45818</v>
      </c>
      <c r="J1" s="45">
        <v>45839</v>
      </c>
      <c r="K1" s="45">
        <v>45870</v>
      </c>
      <c r="L1" s="45">
        <v>45901</v>
      </c>
      <c r="M1" s="45">
        <v>45931</v>
      </c>
      <c r="N1" s="45">
        <v>45962</v>
      </c>
      <c r="O1" s="45">
        <v>45992</v>
      </c>
    </row>
    <row r="2" spans="1:16" x14ac:dyDescent="0.35">
      <c r="A2" s="2"/>
      <c r="B2" s="2" t="s">
        <v>458</v>
      </c>
      <c r="C2" s="34" t="s">
        <v>337</v>
      </c>
      <c r="D2" s="34"/>
      <c r="E2" s="34"/>
      <c r="F2" s="34"/>
      <c r="G2" s="34"/>
      <c r="H2" s="9">
        <v>-98720538.439999998</v>
      </c>
      <c r="I2" s="9">
        <v>-70534677.520000011</v>
      </c>
      <c r="J2" s="9">
        <v>-74701633.620000005</v>
      </c>
      <c r="K2" s="9">
        <v>-55939746.719999999</v>
      </c>
      <c r="L2" s="9">
        <v>-73597553.279999971</v>
      </c>
      <c r="M2" s="9">
        <v>-71618084.900000036</v>
      </c>
      <c r="N2" s="9">
        <v>-92249003.279999971</v>
      </c>
      <c r="O2" s="38">
        <v>-97353402.600000024</v>
      </c>
    </row>
    <row r="3" spans="1:16" x14ac:dyDescent="0.35">
      <c r="A3" s="2"/>
      <c r="B3" s="2" t="s">
        <v>459</v>
      </c>
      <c r="C3" s="34" t="s">
        <v>338</v>
      </c>
      <c r="D3" s="34"/>
      <c r="E3" s="34"/>
      <c r="F3" s="34"/>
      <c r="G3" s="34"/>
      <c r="H3" s="9">
        <v>0</v>
      </c>
      <c r="I3" s="9">
        <v>0</v>
      </c>
      <c r="J3" s="9">
        <v>-130951.9</v>
      </c>
      <c r="K3" s="9">
        <v>0</v>
      </c>
      <c r="L3" s="9">
        <v>-159306.38999999998</v>
      </c>
      <c r="M3" s="9">
        <v>0</v>
      </c>
      <c r="N3" s="9">
        <v>-11723.110000000044</v>
      </c>
      <c r="O3" s="9">
        <v>0</v>
      </c>
    </row>
    <row r="4" spans="1:16" x14ac:dyDescent="0.35">
      <c r="A4" s="2"/>
      <c r="B4" s="2" t="s">
        <v>460</v>
      </c>
      <c r="C4" s="34" t="s">
        <v>339</v>
      </c>
      <c r="D4" s="34"/>
      <c r="E4" s="34"/>
      <c r="F4" s="34"/>
      <c r="G4" s="34"/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-207927.02</v>
      </c>
    </row>
    <row r="5" spans="1:16" x14ac:dyDescent="0.35">
      <c r="A5" s="2"/>
      <c r="B5" s="2" t="s">
        <v>461</v>
      </c>
      <c r="C5" s="34" t="s">
        <v>340</v>
      </c>
      <c r="D5" s="34"/>
      <c r="E5" s="34"/>
      <c r="F5" s="34"/>
      <c r="G5" s="34"/>
      <c r="H5" s="9">
        <v>-100003.93</v>
      </c>
      <c r="I5" s="9">
        <v>517.41999999999825</v>
      </c>
      <c r="J5" s="9">
        <v>-32284.87000000001</v>
      </c>
      <c r="K5" s="9">
        <v>-55216.889999999985</v>
      </c>
      <c r="L5" s="9">
        <v>0</v>
      </c>
      <c r="M5" s="9">
        <v>-307998</v>
      </c>
      <c r="N5" s="9">
        <v>-19423538.41</v>
      </c>
      <c r="O5" s="9">
        <v>-611448.19999999925</v>
      </c>
    </row>
    <row r="6" spans="1:16" x14ac:dyDescent="0.35">
      <c r="A6" s="2"/>
      <c r="B6" s="2" t="s">
        <v>462</v>
      </c>
      <c r="C6" s="34" t="s">
        <v>341</v>
      </c>
      <c r="D6" s="34"/>
      <c r="E6" s="34"/>
      <c r="F6" s="34"/>
      <c r="G6" s="34"/>
      <c r="H6" s="9">
        <v>-7776.64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46"/>
    </row>
    <row r="7" spans="1:16" x14ac:dyDescent="0.35">
      <c r="A7" s="2"/>
      <c r="B7" s="2" t="s">
        <v>463</v>
      </c>
      <c r="C7" s="34" t="s">
        <v>342</v>
      </c>
      <c r="D7" s="34"/>
      <c r="E7" s="34"/>
      <c r="F7" s="34"/>
      <c r="G7" s="34"/>
      <c r="H7" s="9">
        <v>-8742151.3200000003</v>
      </c>
      <c r="I7" s="9">
        <v>-12227544.07</v>
      </c>
      <c r="J7" s="9">
        <v>-13299367.32</v>
      </c>
      <c r="K7" s="9">
        <v>-5531106.9399999976</v>
      </c>
      <c r="L7" s="9">
        <v>-12372288.120000005</v>
      </c>
      <c r="M7" s="9">
        <v>-16738838.839999996</v>
      </c>
      <c r="N7" s="9">
        <v>-18076007.640000001</v>
      </c>
      <c r="O7" s="9">
        <v>-18266420.040000007</v>
      </c>
    </row>
    <row r="8" spans="1:16" x14ac:dyDescent="0.35">
      <c r="A8" s="2"/>
      <c r="B8" s="2" t="s">
        <v>464</v>
      </c>
      <c r="C8" s="34" t="s">
        <v>343</v>
      </c>
      <c r="D8" s="34"/>
      <c r="E8" s="34"/>
      <c r="F8" s="34"/>
      <c r="G8" s="34"/>
      <c r="H8" s="9">
        <v>-11121680.16</v>
      </c>
      <c r="I8" s="9">
        <v>-11114396.640000001</v>
      </c>
      <c r="J8" s="9">
        <v>-16532004.639999997</v>
      </c>
      <c r="K8" s="9">
        <v>-13268993.280000001</v>
      </c>
      <c r="L8" s="9">
        <v>-13935232.160000004</v>
      </c>
      <c r="M8" s="9">
        <v>-12544057.039999999</v>
      </c>
      <c r="N8" s="9">
        <v>-12831790.799999997</v>
      </c>
      <c r="O8" s="9">
        <v>-13947931.159999996</v>
      </c>
      <c r="P8" s="46"/>
    </row>
    <row r="9" spans="1:16" x14ac:dyDescent="0.35">
      <c r="A9" s="2"/>
      <c r="B9" s="2"/>
      <c r="C9" s="23" t="s">
        <v>6</v>
      </c>
      <c r="D9" s="8">
        <v>-8452327.2599999998</v>
      </c>
      <c r="E9" s="8">
        <v>-9448922.4000000004</v>
      </c>
      <c r="F9" s="8">
        <v>-7304358.2999999998</v>
      </c>
      <c r="G9" s="8">
        <v>-9260680.8000000007</v>
      </c>
      <c r="H9" s="9"/>
      <c r="I9" s="9"/>
      <c r="J9" s="9"/>
      <c r="K9" s="9"/>
      <c r="L9" s="9"/>
      <c r="M9" s="9"/>
      <c r="N9" s="9"/>
      <c r="O9" s="9"/>
    </row>
    <row r="10" spans="1:16" x14ac:dyDescent="0.35">
      <c r="A10" s="2"/>
      <c r="B10" s="2"/>
      <c r="C10" s="23" t="s">
        <v>8</v>
      </c>
      <c r="D10" s="8">
        <v>-33860917.799999997</v>
      </c>
      <c r="E10" s="8">
        <v>-31208624.84</v>
      </c>
      <c r="F10" s="8">
        <v>-31905140.460000001</v>
      </c>
      <c r="G10" s="8">
        <v>-30791324.399999999</v>
      </c>
      <c r="H10" s="9"/>
      <c r="I10" s="9"/>
      <c r="J10" s="9"/>
      <c r="K10" s="9"/>
      <c r="L10" s="9"/>
      <c r="M10" s="9"/>
      <c r="N10" s="9"/>
      <c r="O10" s="9"/>
    </row>
    <row r="11" spans="1:16" x14ac:dyDescent="0.35">
      <c r="A11" s="2"/>
      <c r="B11" s="2"/>
      <c r="C11" s="23" t="s">
        <v>9</v>
      </c>
      <c r="D11" s="8">
        <v>-5577108.3300000001</v>
      </c>
      <c r="E11" s="8">
        <v>3854.26</v>
      </c>
      <c r="F11" s="8">
        <v>0</v>
      </c>
      <c r="G11" s="8">
        <v>0</v>
      </c>
      <c r="H11" s="9"/>
      <c r="I11" s="9"/>
      <c r="J11" s="9"/>
      <c r="K11" s="9"/>
      <c r="L11" s="9"/>
      <c r="M11" s="9"/>
      <c r="N11" s="9"/>
      <c r="O11" s="9"/>
    </row>
    <row r="12" spans="1:16" x14ac:dyDescent="0.35">
      <c r="A12" s="2"/>
      <c r="B12" s="2"/>
      <c r="C12" s="23" t="s">
        <v>10</v>
      </c>
      <c r="D12" s="8">
        <v>-8030</v>
      </c>
      <c r="E12" s="8">
        <v>-5750</v>
      </c>
      <c r="F12" s="8">
        <v>-11390</v>
      </c>
      <c r="G12" s="8">
        <v>-13782.5</v>
      </c>
      <c r="H12" s="9"/>
      <c r="I12" s="9"/>
      <c r="J12" s="9"/>
      <c r="K12" s="9"/>
      <c r="L12" s="9"/>
      <c r="M12" s="9"/>
      <c r="N12" s="9"/>
      <c r="O12" s="9"/>
    </row>
    <row r="13" spans="1:16" x14ac:dyDescent="0.35">
      <c r="A13" s="2"/>
      <c r="B13" s="2"/>
      <c r="C13" s="23" t="s">
        <v>11</v>
      </c>
      <c r="D13" s="8">
        <v>8317902</v>
      </c>
      <c r="E13" s="8">
        <v>2063133</v>
      </c>
      <c r="F13" s="8">
        <v>5521700</v>
      </c>
      <c r="G13" s="8">
        <v>0</v>
      </c>
      <c r="H13" s="9"/>
      <c r="I13" s="9"/>
      <c r="J13" s="9"/>
      <c r="K13" s="9"/>
      <c r="L13" s="9"/>
      <c r="M13" s="9"/>
      <c r="N13" s="9"/>
      <c r="O13" s="9"/>
    </row>
    <row r="14" spans="1:16" x14ac:dyDescent="0.35">
      <c r="A14" s="2"/>
      <c r="B14" s="2"/>
      <c r="C14" s="23" t="s">
        <v>16</v>
      </c>
      <c r="D14" s="8">
        <v>0</v>
      </c>
      <c r="E14" s="8">
        <v>-22185</v>
      </c>
      <c r="F14" s="8">
        <v>0</v>
      </c>
      <c r="G14" s="8">
        <v>-161224.20000000001</v>
      </c>
      <c r="H14" s="9"/>
      <c r="I14" s="9"/>
      <c r="J14" s="9"/>
      <c r="K14" s="9"/>
      <c r="L14" s="9"/>
      <c r="M14" s="9"/>
      <c r="N14" s="9"/>
      <c r="O14" s="9"/>
    </row>
    <row r="15" spans="1:16" x14ac:dyDescent="0.35">
      <c r="A15" s="2"/>
      <c r="B15" s="2"/>
      <c r="C15" s="23" t="s">
        <v>17</v>
      </c>
      <c r="D15" s="8">
        <v>0</v>
      </c>
      <c r="E15" s="8">
        <v>0</v>
      </c>
      <c r="F15" s="8">
        <v>0</v>
      </c>
      <c r="G15" s="8">
        <v>-4280.1000000000004</v>
      </c>
      <c r="H15" s="9"/>
      <c r="I15" s="9"/>
      <c r="J15" s="9"/>
      <c r="K15" s="9"/>
      <c r="L15" s="9"/>
      <c r="M15" s="9"/>
      <c r="N15" s="9"/>
      <c r="O15" s="9"/>
    </row>
    <row r="16" spans="1:16" x14ac:dyDescent="0.35">
      <c r="A16" s="2"/>
      <c r="B16" s="2"/>
      <c r="C16" s="23" t="s">
        <v>19</v>
      </c>
      <c r="D16" s="8">
        <v>-41018132.399999999</v>
      </c>
      <c r="E16" s="8">
        <v>-39277952.880000003</v>
      </c>
      <c r="F16" s="8">
        <v>-46103887.060000002</v>
      </c>
      <c r="G16" s="8">
        <v>-44780924.119999997</v>
      </c>
      <c r="H16" s="9"/>
      <c r="I16" s="9"/>
      <c r="J16" s="9"/>
      <c r="K16" s="9"/>
      <c r="L16" s="9"/>
      <c r="M16" s="9"/>
      <c r="N16" s="9"/>
      <c r="O16" s="9"/>
    </row>
    <row r="17" spans="1:15" x14ac:dyDescent="0.35">
      <c r="A17" s="2"/>
      <c r="B17" s="2"/>
      <c r="C17" s="23" t="s">
        <v>23</v>
      </c>
      <c r="D17" s="8">
        <v>-20229779.98</v>
      </c>
      <c r="E17" s="8">
        <v>-15790997.880000001</v>
      </c>
      <c r="F17" s="8">
        <v>-17277194.379999999</v>
      </c>
      <c r="G17" s="8">
        <v>-19901281.66</v>
      </c>
      <c r="H17" s="9"/>
      <c r="I17" s="9"/>
      <c r="J17" s="9"/>
      <c r="K17" s="9"/>
      <c r="L17" s="9"/>
      <c r="M17" s="9"/>
      <c r="N17" s="9"/>
      <c r="O17" s="9"/>
    </row>
    <row r="18" spans="1:15" x14ac:dyDescent="0.35">
      <c r="A18" s="2"/>
      <c r="B18" s="2"/>
      <c r="C18" s="23" t="s">
        <v>24</v>
      </c>
      <c r="D18" s="8">
        <v>-239868</v>
      </c>
      <c r="E18" s="8">
        <v>0</v>
      </c>
      <c r="F18" s="8">
        <v>-549180</v>
      </c>
      <c r="G18" s="8">
        <v>0</v>
      </c>
      <c r="H18" s="9"/>
      <c r="I18" s="9"/>
      <c r="J18" s="9"/>
      <c r="K18" s="9"/>
      <c r="L18" s="9"/>
      <c r="M18" s="9"/>
      <c r="N18" s="9"/>
      <c r="O18" s="9"/>
    </row>
    <row r="19" spans="1:15" x14ac:dyDescent="0.35">
      <c r="A19" s="2"/>
      <c r="B19" s="2"/>
      <c r="C19" s="24" t="s">
        <v>25</v>
      </c>
      <c r="D19" s="8">
        <v>-430545.6</v>
      </c>
      <c r="E19" s="8">
        <v>-794447</v>
      </c>
      <c r="F19" s="8">
        <v>-432097.8</v>
      </c>
      <c r="G19" s="8">
        <v>-786645.6</v>
      </c>
      <c r="H19" s="9"/>
      <c r="I19" s="9"/>
      <c r="J19" s="9"/>
      <c r="K19" s="9"/>
      <c r="L19" s="9"/>
      <c r="M19" s="9"/>
      <c r="N19" s="9"/>
      <c r="O19" s="9"/>
    </row>
    <row r="20" spans="1:15" x14ac:dyDescent="0.35">
      <c r="A20" s="2"/>
      <c r="B20" s="2"/>
      <c r="C20" s="23" t="s">
        <v>27</v>
      </c>
      <c r="D20" s="8">
        <v>-2000</v>
      </c>
      <c r="E20" s="8">
        <v>0</v>
      </c>
      <c r="F20" s="8">
        <v>0</v>
      </c>
      <c r="G20" s="8">
        <v>0</v>
      </c>
      <c r="H20" s="9"/>
      <c r="I20" s="9"/>
      <c r="J20" s="9"/>
      <c r="K20" s="9"/>
      <c r="L20" s="9"/>
      <c r="M20" s="9"/>
      <c r="N20" s="9"/>
      <c r="O20" s="9"/>
    </row>
    <row r="21" spans="1:15" x14ac:dyDescent="0.35">
      <c r="A21" s="2"/>
      <c r="B21" s="2"/>
      <c r="C21" s="23" t="s">
        <v>28</v>
      </c>
      <c r="D21" s="8">
        <v>-2000</v>
      </c>
      <c r="E21" s="8">
        <v>-190965.1</v>
      </c>
      <c r="F21" s="8">
        <v>-6500</v>
      </c>
      <c r="G21" s="8">
        <v>-83340</v>
      </c>
      <c r="H21" s="9"/>
      <c r="I21" s="9"/>
      <c r="J21" s="9"/>
      <c r="K21" s="9"/>
      <c r="L21" s="9"/>
      <c r="M21" s="9"/>
      <c r="N21" s="9"/>
      <c r="O21" s="9"/>
    </row>
    <row r="22" spans="1:15" x14ac:dyDescent="0.35">
      <c r="A22" s="2"/>
      <c r="B22" s="2"/>
      <c r="C22" s="23" t="s">
        <v>31</v>
      </c>
      <c r="D22" s="8">
        <v>0</v>
      </c>
      <c r="E22" s="8">
        <v>0</v>
      </c>
      <c r="F22" s="8">
        <v>-8424716</v>
      </c>
      <c r="G22" s="8">
        <v>0</v>
      </c>
      <c r="H22" s="9"/>
      <c r="I22" s="9"/>
      <c r="J22" s="9"/>
      <c r="K22" s="9"/>
      <c r="L22" s="9"/>
      <c r="M22" s="9"/>
      <c r="N22" s="9"/>
      <c r="O22" s="9"/>
    </row>
    <row r="23" spans="1:15" x14ac:dyDescent="0.35">
      <c r="A23" s="2"/>
      <c r="B23" s="2"/>
      <c r="C23" s="23" t="s">
        <v>34</v>
      </c>
      <c r="D23" s="8">
        <v>0</v>
      </c>
      <c r="E23" s="8">
        <v>-5769610</v>
      </c>
      <c r="F23" s="8">
        <v>1856328.2</v>
      </c>
      <c r="G23" s="8">
        <v>-345150</v>
      </c>
      <c r="H23" s="9"/>
      <c r="I23" s="9"/>
      <c r="J23" s="9"/>
      <c r="K23" s="9"/>
      <c r="L23" s="9"/>
      <c r="M23" s="9"/>
      <c r="N23" s="9"/>
      <c r="O23" s="9"/>
    </row>
    <row r="24" spans="1:15" x14ac:dyDescent="0.35">
      <c r="A24" s="2"/>
      <c r="B24" s="2"/>
      <c r="C24" s="23" t="s">
        <v>35</v>
      </c>
      <c r="D24" s="8">
        <v>-2250400</v>
      </c>
      <c r="E24" s="8">
        <v>0</v>
      </c>
      <c r="F24" s="8">
        <v>-1262605.92</v>
      </c>
      <c r="G24" s="8">
        <v>0</v>
      </c>
      <c r="H24" s="9"/>
      <c r="I24" s="9"/>
      <c r="J24" s="9"/>
      <c r="K24" s="9"/>
      <c r="L24" s="9"/>
      <c r="M24" s="9"/>
      <c r="N24" s="9"/>
      <c r="O24" s="9"/>
    </row>
    <row r="25" spans="1:15" x14ac:dyDescent="0.35">
      <c r="A25" s="2"/>
      <c r="B25" s="2"/>
      <c r="C25" s="29" t="s">
        <v>317</v>
      </c>
      <c r="D25" s="8">
        <v>0</v>
      </c>
      <c r="E25" s="8">
        <v>0</v>
      </c>
      <c r="F25" s="8">
        <v>0</v>
      </c>
      <c r="G25" s="8">
        <v>-1619164.83</v>
      </c>
      <c r="H25" s="9"/>
      <c r="I25" s="9"/>
      <c r="J25" s="9"/>
      <c r="K25" s="9"/>
      <c r="L25" s="9"/>
      <c r="M25" s="9"/>
      <c r="N25" s="9"/>
      <c r="O25" s="9"/>
    </row>
    <row r="26" spans="1:15" x14ac:dyDescent="0.35">
      <c r="A26" s="2"/>
      <c r="B26" s="2"/>
      <c r="C26" s="23" t="s">
        <v>37</v>
      </c>
      <c r="D26" s="8">
        <v>-10525044.720000001</v>
      </c>
      <c r="E26" s="8">
        <v>-10821118.560000001</v>
      </c>
      <c r="F26" s="8">
        <v>-12346908.960000001</v>
      </c>
      <c r="G26" s="8">
        <v>-11144761.439999999</v>
      </c>
      <c r="H26" s="9"/>
      <c r="I26" s="9"/>
      <c r="J26" s="9"/>
      <c r="K26" s="9"/>
      <c r="L26" s="9"/>
      <c r="M26" s="9"/>
      <c r="N26" s="9"/>
      <c r="O26" s="9"/>
    </row>
    <row r="27" spans="1:15" x14ac:dyDescent="0.35">
      <c r="A27" s="2"/>
      <c r="B27" s="2"/>
      <c r="C27" s="23" t="s">
        <v>38</v>
      </c>
      <c r="D27" s="8">
        <v>-12120</v>
      </c>
      <c r="E27" s="8">
        <v>0</v>
      </c>
      <c r="F27" s="8">
        <v>-24664.05</v>
      </c>
      <c r="G27" s="8">
        <v>-79170</v>
      </c>
      <c r="H27" s="9"/>
      <c r="I27" s="9"/>
      <c r="J27" s="9"/>
      <c r="K27" s="9"/>
      <c r="L27" s="9"/>
      <c r="M27" s="9"/>
      <c r="N27" s="9"/>
      <c r="O27" s="9"/>
    </row>
    <row r="28" spans="1:15" x14ac:dyDescent="0.35">
      <c r="A28" s="2"/>
      <c r="B28" s="2"/>
      <c r="C28" s="50" t="str">
        <f>C31</f>
        <v>Other operating income - scrap sales</v>
      </c>
      <c r="D28" s="8">
        <f>-D31</f>
        <v>3763895.7800000003</v>
      </c>
      <c r="E28" s="8">
        <f t="shared" ref="E28:G28" si="0">-E31</f>
        <v>1321702.3600000001</v>
      </c>
      <c r="F28" s="8">
        <f t="shared" si="0"/>
        <v>2546180.13</v>
      </c>
      <c r="G28" s="8">
        <f t="shared" si="0"/>
        <v>3055999.46</v>
      </c>
      <c r="H28" s="9"/>
      <c r="I28" s="9"/>
      <c r="J28" s="9"/>
      <c r="K28" s="9"/>
      <c r="L28" s="9"/>
      <c r="M28" s="9"/>
      <c r="N28" s="9"/>
      <c r="O28" s="9"/>
    </row>
    <row r="29" spans="1:15" x14ac:dyDescent="0.35">
      <c r="A29" s="2"/>
      <c r="B29" s="2"/>
      <c r="C29" s="35" t="s">
        <v>39</v>
      </c>
      <c r="D29" s="40">
        <f>SUM(D2:D28)</f>
        <v>-110526476.30999999</v>
      </c>
      <c r="E29" s="40">
        <f t="shared" ref="E29:G29" si="1">SUM(E2:E28)</f>
        <v>-109941884.04000001</v>
      </c>
      <c r="F29" s="40">
        <f t="shared" si="1"/>
        <v>-115724434.59999998</v>
      </c>
      <c r="G29" s="40">
        <f t="shared" si="1"/>
        <v>-115915730.19</v>
      </c>
      <c r="H29" s="40">
        <f t="shared" ref="H29" si="2">SUM(H2:H28)</f>
        <v>-118692150.49000001</v>
      </c>
      <c r="I29" s="40">
        <f t="shared" ref="I29" si="3">SUM(I2:I28)</f>
        <v>-93876100.810000017</v>
      </c>
      <c r="J29" s="40">
        <f t="shared" ref="J29" si="4">SUM(J2:J28)</f>
        <v>-104696242.35000001</v>
      </c>
      <c r="K29" s="40">
        <f t="shared" ref="K29" si="5">SUM(K2:K28)</f>
        <v>-74795063.829999998</v>
      </c>
      <c r="L29" s="40">
        <f t="shared" ref="L29" si="6">SUM(L2:L28)</f>
        <v>-100064379.94999999</v>
      </c>
      <c r="M29" s="40">
        <f t="shared" ref="M29" si="7">SUM(M2:M28)</f>
        <v>-101208978.78000003</v>
      </c>
      <c r="N29" s="40">
        <f t="shared" ref="N29" si="8">SUM(N2:N28)</f>
        <v>-142592063.23999995</v>
      </c>
      <c r="O29" s="40">
        <f t="shared" ref="O29" si="9">SUM(O2:O28)</f>
        <v>-130387129.02000003</v>
      </c>
    </row>
    <row r="30" spans="1:15" x14ac:dyDescent="0.35">
      <c r="A30" s="2"/>
      <c r="B30" s="2"/>
      <c r="C30" s="36"/>
      <c r="D30" s="36"/>
      <c r="E30" s="36"/>
      <c r="F30" s="36"/>
      <c r="G30" s="36"/>
      <c r="H30" s="9"/>
      <c r="I30" s="9"/>
      <c r="J30" s="9"/>
      <c r="K30" s="9"/>
      <c r="L30" s="9"/>
      <c r="M30" s="9"/>
      <c r="N30" s="9"/>
      <c r="O30" s="9"/>
    </row>
    <row r="31" spans="1:15" x14ac:dyDescent="0.35">
      <c r="A31" s="2"/>
      <c r="B31" s="2" t="s">
        <v>465</v>
      </c>
      <c r="C31" s="34" t="s">
        <v>347</v>
      </c>
      <c r="D31" s="49">
        <v>-3763895.7800000003</v>
      </c>
      <c r="E31" s="49">
        <v>-1321702.3600000001</v>
      </c>
      <c r="F31" s="49">
        <v>-2546180.13</v>
      </c>
      <c r="G31" s="49">
        <v>-3055999.46</v>
      </c>
      <c r="H31" s="9">
        <v>-2430524.67</v>
      </c>
      <c r="I31" s="9">
        <v>-2850246.95</v>
      </c>
      <c r="J31" s="9">
        <v>-672935.46</v>
      </c>
      <c r="K31" s="9">
        <v>-69891.240000000224</v>
      </c>
      <c r="L31" s="9">
        <v>-3209109.959999999</v>
      </c>
      <c r="M31" s="9">
        <v>-92247.570000000298</v>
      </c>
      <c r="N31" s="9">
        <v>-3083072.7300000004</v>
      </c>
      <c r="O31" s="9">
        <v>-3324867.209999999</v>
      </c>
    </row>
    <row r="32" spans="1:15" x14ac:dyDescent="0.35">
      <c r="A32" s="2"/>
      <c r="B32" s="2"/>
      <c r="C32" s="35" t="s">
        <v>67</v>
      </c>
      <c r="D32" s="40">
        <f>SUM(D31)</f>
        <v>-3763895.7800000003</v>
      </c>
      <c r="E32" s="40">
        <f t="shared" ref="E32:G32" si="10">SUM(E31)</f>
        <v>-1321702.3600000001</v>
      </c>
      <c r="F32" s="40">
        <f t="shared" si="10"/>
        <v>-2546180.13</v>
      </c>
      <c r="G32" s="40">
        <f t="shared" si="10"/>
        <v>-3055999.46</v>
      </c>
      <c r="H32" s="40">
        <f t="shared" ref="H32:M32" si="11">SUM(H31)</f>
        <v>-2430524.67</v>
      </c>
      <c r="I32" s="40">
        <f t="shared" si="11"/>
        <v>-2850246.95</v>
      </c>
      <c r="J32" s="40">
        <f t="shared" si="11"/>
        <v>-672935.46</v>
      </c>
      <c r="K32" s="40">
        <f t="shared" si="11"/>
        <v>-69891.240000000224</v>
      </c>
      <c r="L32" s="40">
        <f t="shared" si="11"/>
        <v>-3209109.959999999</v>
      </c>
      <c r="M32" s="40">
        <f t="shared" si="11"/>
        <v>-92247.570000000298</v>
      </c>
      <c r="N32" s="40">
        <f t="shared" ref="N32" si="12">SUM(N31)</f>
        <v>-3083072.7300000004</v>
      </c>
      <c r="O32" s="40">
        <f>SUM(O31)</f>
        <v>-3324867.209999999</v>
      </c>
    </row>
    <row r="33" spans="1:17" x14ac:dyDescent="0.35">
      <c r="A33" s="2"/>
      <c r="B33" s="2"/>
      <c r="C33" s="36"/>
      <c r="D33" s="36"/>
      <c r="E33" s="36"/>
      <c r="F33" s="36"/>
      <c r="G33" s="36"/>
      <c r="H33" s="9"/>
      <c r="I33" s="9"/>
      <c r="J33" s="9"/>
      <c r="K33" s="9"/>
      <c r="L33" s="9"/>
      <c r="M33" s="9"/>
      <c r="N33" s="9"/>
      <c r="O33" s="9"/>
    </row>
    <row r="34" spans="1:17" x14ac:dyDescent="0.35">
      <c r="A34" s="2"/>
      <c r="B34" s="2" t="s">
        <v>466</v>
      </c>
      <c r="C34" s="34" t="s">
        <v>349</v>
      </c>
      <c r="D34" s="34"/>
      <c r="E34" s="34"/>
      <c r="F34" s="34"/>
      <c r="G34" s="34"/>
      <c r="H34" s="9">
        <v>-2883.6</v>
      </c>
      <c r="I34" s="9">
        <v>0</v>
      </c>
      <c r="J34" s="9">
        <v>-2282.3799999999997</v>
      </c>
      <c r="K34" s="9">
        <v>-11188.36</v>
      </c>
      <c r="L34" s="9">
        <v>0</v>
      </c>
      <c r="M34" s="9">
        <v>-1528954.78</v>
      </c>
      <c r="N34" s="9">
        <v>-29962.549999999814</v>
      </c>
      <c r="O34" s="9">
        <v>-123605.40000000014</v>
      </c>
    </row>
    <row r="35" spans="1:17" x14ac:dyDescent="0.35">
      <c r="A35" s="2"/>
      <c r="B35" s="2" t="s">
        <v>564</v>
      </c>
      <c r="C35" s="34" t="s">
        <v>443</v>
      </c>
      <c r="D35" s="34"/>
      <c r="E35" s="34"/>
      <c r="F35" s="34"/>
      <c r="G35" s="34"/>
      <c r="H35" s="9">
        <v>1584777.64</v>
      </c>
      <c r="I35" s="9">
        <v>331557.13000000012</v>
      </c>
      <c r="J35" s="9">
        <v>350922.31000000006</v>
      </c>
      <c r="K35" s="9">
        <v>725294.81999999983</v>
      </c>
      <c r="L35" s="9">
        <v>805479</v>
      </c>
      <c r="M35" s="9">
        <v>2349887.8000000003</v>
      </c>
      <c r="N35" s="9">
        <v>515046.34999999963</v>
      </c>
      <c r="O35" s="9">
        <v>1108196.7599999998</v>
      </c>
    </row>
    <row r="36" spans="1:17" x14ac:dyDescent="0.35">
      <c r="A36" s="2"/>
      <c r="B36" s="2" t="s">
        <v>467</v>
      </c>
      <c r="C36" s="34" t="s">
        <v>350</v>
      </c>
      <c r="D36" s="34"/>
      <c r="E36" s="34"/>
      <c r="F36" s="34"/>
      <c r="G36" s="34"/>
      <c r="H36" s="9">
        <v>-21642.04</v>
      </c>
      <c r="I36" s="9">
        <v>-30334.9</v>
      </c>
      <c r="J36" s="9">
        <v>-15000</v>
      </c>
      <c r="K36" s="9">
        <v>0</v>
      </c>
      <c r="L36" s="9">
        <v>0</v>
      </c>
      <c r="M36" s="9">
        <v>0</v>
      </c>
      <c r="N36" s="9">
        <v>0</v>
      </c>
      <c r="O36" s="9">
        <v>0</v>
      </c>
    </row>
    <row r="37" spans="1:17" x14ac:dyDescent="0.35">
      <c r="A37" s="2"/>
      <c r="B37" s="2" t="s">
        <v>468</v>
      </c>
      <c r="C37" s="34" t="s">
        <v>351</v>
      </c>
      <c r="D37" s="34"/>
      <c r="E37" s="34"/>
      <c r="F37" s="34"/>
      <c r="G37" s="34"/>
      <c r="H37" s="9">
        <v>0</v>
      </c>
      <c r="I37" s="9">
        <v>-45</v>
      </c>
      <c r="J37" s="9">
        <v>-112.61000000000001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</row>
    <row r="38" spans="1:17" x14ac:dyDescent="0.35">
      <c r="A38" s="2"/>
      <c r="B38" s="2" t="s">
        <v>469</v>
      </c>
      <c r="C38" s="34" t="s">
        <v>352</v>
      </c>
      <c r="D38" s="34"/>
      <c r="E38" s="34"/>
      <c r="F38" s="34"/>
      <c r="G38" s="34"/>
      <c r="H38" s="9">
        <v>-118854.63</v>
      </c>
      <c r="I38" s="9">
        <v>-27170</v>
      </c>
      <c r="J38" s="9">
        <v>0</v>
      </c>
      <c r="K38" s="9">
        <v>0</v>
      </c>
      <c r="L38" s="9">
        <v>-21115</v>
      </c>
      <c r="M38" s="9">
        <v>0</v>
      </c>
      <c r="N38" s="9">
        <v>-40607</v>
      </c>
      <c r="O38" s="9">
        <v>-114840</v>
      </c>
    </row>
    <row r="39" spans="1:17" x14ac:dyDescent="0.35">
      <c r="A39" s="2"/>
      <c r="B39" s="2" t="s">
        <v>470</v>
      </c>
      <c r="C39" s="34" t="s">
        <v>353</v>
      </c>
      <c r="D39" s="34"/>
      <c r="E39" s="34"/>
      <c r="F39" s="34"/>
      <c r="G39" s="34"/>
      <c r="H39" s="9">
        <v>0</v>
      </c>
      <c r="I39" s="9">
        <v>-468851</v>
      </c>
      <c r="J39" s="9">
        <v>-225757</v>
      </c>
      <c r="K39" s="9">
        <v>-236748</v>
      </c>
      <c r="L39" s="9">
        <v>-207688</v>
      </c>
      <c r="M39" s="9">
        <v>-473525</v>
      </c>
      <c r="N39" s="9">
        <v>-52347</v>
      </c>
      <c r="O39" s="9">
        <v>-183617</v>
      </c>
      <c r="Q39" s="12"/>
    </row>
    <row r="40" spans="1:17" x14ac:dyDescent="0.35">
      <c r="A40" s="2"/>
      <c r="B40" s="2" t="s">
        <v>471</v>
      </c>
      <c r="C40" s="34" t="s">
        <v>354</v>
      </c>
      <c r="D40" s="34"/>
      <c r="E40" s="34"/>
      <c r="F40" s="34"/>
      <c r="G40" s="34"/>
      <c r="H40" s="9">
        <v>0</v>
      </c>
      <c r="I40" s="9">
        <v>0</v>
      </c>
      <c r="J40" s="9">
        <v>0</v>
      </c>
      <c r="K40" s="9">
        <v>-5909</v>
      </c>
      <c r="L40" s="9">
        <v>0</v>
      </c>
      <c r="M40" s="9">
        <v>0</v>
      </c>
      <c r="N40" s="9">
        <v>0</v>
      </c>
      <c r="O40" s="9">
        <v>0</v>
      </c>
    </row>
    <row r="41" spans="1:17" x14ac:dyDescent="0.35">
      <c r="A41" s="2"/>
      <c r="B41" s="2"/>
      <c r="C41" s="23" t="s">
        <v>70</v>
      </c>
      <c r="D41" s="8">
        <v>0</v>
      </c>
      <c r="E41" s="8">
        <v>0</v>
      </c>
      <c r="F41" s="8">
        <v>0</v>
      </c>
      <c r="G41" s="8">
        <v>-1331906</v>
      </c>
      <c r="H41" s="9"/>
      <c r="I41" s="9"/>
      <c r="J41" s="9"/>
      <c r="K41" s="9"/>
      <c r="L41" s="9"/>
      <c r="M41" s="9"/>
      <c r="N41" s="9"/>
      <c r="O41" s="9"/>
    </row>
    <row r="42" spans="1:17" x14ac:dyDescent="0.35">
      <c r="A42" s="2"/>
      <c r="B42" s="2"/>
      <c r="C42" s="23" t="s">
        <v>77</v>
      </c>
      <c r="D42" s="8">
        <v>-254915</v>
      </c>
      <c r="E42" s="8">
        <v>-168735</v>
      </c>
      <c r="F42" s="8">
        <v>-677326</v>
      </c>
      <c r="G42" s="8">
        <v>-266004</v>
      </c>
      <c r="H42" s="9"/>
      <c r="I42" s="9"/>
      <c r="J42" s="9"/>
      <c r="K42" s="9"/>
      <c r="L42" s="9"/>
      <c r="M42" s="9"/>
      <c r="N42" s="9"/>
      <c r="O42" s="9"/>
    </row>
    <row r="43" spans="1:17" x14ac:dyDescent="0.35">
      <c r="A43" s="2"/>
      <c r="B43" s="2"/>
      <c r="C43" s="23" t="s">
        <v>57</v>
      </c>
      <c r="D43" s="8">
        <v>-23310</v>
      </c>
      <c r="E43" s="8">
        <v>-15540</v>
      </c>
      <c r="F43" s="8">
        <v>-46620</v>
      </c>
      <c r="G43" s="8">
        <v>0</v>
      </c>
      <c r="H43" s="9"/>
      <c r="I43" s="9"/>
      <c r="J43" s="9"/>
      <c r="K43" s="9"/>
      <c r="L43" s="9"/>
      <c r="M43" s="9"/>
      <c r="N43" s="9"/>
      <c r="O43" s="9"/>
    </row>
    <row r="44" spans="1:17" x14ac:dyDescent="0.35">
      <c r="A44" s="2"/>
      <c r="B44" s="2"/>
      <c r="C44" s="23" t="s">
        <v>80</v>
      </c>
      <c r="D44" s="8">
        <v>0</v>
      </c>
      <c r="E44" s="8">
        <v>0</v>
      </c>
      <c r="F44" s="8">
        <v>-86821</v>
      </c>
      <c r="G44" s="8">
        <v>0</v>
      </c>
      <c r="H44" s="9"/>
      <c r="I44" s="9"/>
      <c r="J44" s="9"/>
      <c r="K44" s="9"/>
      <c r="L44" s="9"/>
      <c r="M44" s="9"/>
      <c r="N44" s="9"/>
      <c r="O44" s="9"/>
    </row>
    <row r="45" spans="1:17" x14ac:dyDescent="0.35">
      <c r="A45" s="2"/>
      <c r="B45" s="2"/>
      <c r="C45" s="23" t="s">
        <v>81</v>
      </c>
      <c r="D45" s="8">
        <v>0</v>
      </c>
      <c r="E45" s="8">
        <v>0</v>
      </c>
      <c r="F45" s="8">
        <v>-637008</v>
      </c>
      <c r="G45" s="8">
        <v>0</v>
      </c>
      <c r="H45" s="9"/>
      <c r="I45" s="9"/>
      <c r="J45" s="9"/>
      <c r="K45" s="9"/>
      <c r="L45" s="9"/>
      <c r="M45" s="9"/>
      <c r="N45" s="9"/>
      <c r="O45" s="9"/>
    </row>
    <row r="46" spans="1:17" x14ac:dyDescent="0.35">
      <c r="A46" s="2"/>
      <c r="B46" s="2"/>
      <c r="C46" s="23" t="s">
        <v>55</v>
      </c>
      <c r="D46" s="8">
        <v>0</v>
      </c>
      <c r="E46" s="8">
        <v>0</v>
      </c>
      <c r="F46" s="8">
        <v>0</v>
      </c>
      <c r="G46" s="8">
        <v>-118400</v>
      </c>
      <c r="H46" s="9"/>
      <c r="I46" s="9"/>
      <c r="J46" s="9"/>
      <c r="K46" s="9"/>
      <c r="L46" s="9"/>
      <c r="M46" s="9"/>
      <c r="N46" s="9"/>
      <c r="O46" s="9"/>
    </row>
    <row r="47" spans="1:17" x14ac:dyDescent="0.35">
      <c r="A47" s="2"/>
      <c r="B47" s="2"/>
      <c r="C47" s="23" t="s">
        <v>276</v>
      </c>
      <c r="D47" s="8">
        <v>437086.73</v>
      </c>
      <c r="E47" s="8">
        <v>437086.73</v>
      </c>
      <c r="F47" s="8">
        <v>437086.73</v>
      </c>
      <c r="G47" s="8">
        <v>437086.73</v>
      </c>
      <c r="H47" s="9"/>
      <c r="I47" s="9"/>
      <c r="J47" s="9"/>
      <c r="K47" s="9"/>
      <c r="L47" s="9"/>
      <c r="M47" s="9"/>
      <c r="N47" s="9"/>
      <c r="O47" s="9"/>
    </row>
    <row r="48" spans="1:17" x14ac:dyDescent="0.35">
      <c r="A48" s="2"/>
      <c r="B48" s="2"/>
      <c r="C48" s="17" t="s">
        <v>324</v>
      </c>
      <c r="D48" s="8">
        <v>145541.04</v>
      </c>
      <c r="E48" s="8">
        <v>145541.04</v>
      </c>
      <c r="F48" s="8">
        <v>145541.04</v>
      </c>
      <c r="G48" s="8">
        <v>145541.04</v>
      </c>
      <c r="H48" s="9"/>
      <c r="I48" s="9"/>
      <c r="J48" s="9"/>
      <c r="K48" s="9"/>
      <c r="L48" s="9"/>
      <c r="M48" s="9"/>
      <c r="N48" s="9"/>
      <c r="O48" s="9"/>
    </row>
    <row r="49" spans="1:15" x14ac:dyDescent="0.35">
      <c r="A49" s="2"/>
      <c r="B49" s="2"/>
      <c r="C49" s="35" t="s">
        <v>82</v>
      </c>
      <c r="D49" s="40">
        <f t="shared" ref="D49:O49" si="13">SUM(D34:D48)</f>
        <v>304402.77</v>
      </c>
      <c r="E49" s="40">
        <f t="shared" si="13"/>
        <v>398352.77</v>
      </c>
      <c r="F49" s="40">
        <f t="shared" si="13"/>
        <v>-865147.23</v>
      </c>
      <c r="G49" s="40">
        <f t="shared" si="13"/>
        <v>-1133682.23</v>
      </c>
      <c r="H49" s="40">
        <f t="shared" si="13"/>
        <v>1441397.3699999996</v>
      </c>
      <c r="I49" s="40">
        <f t="shared" si="13"/>
        <v>-194843.7699999999</v>
      </c>
      <c r="J49" s="40">
        <f t="shared" si="13"/>
        <v>107770.32000000007</v>
      </c>
      <c r="K49" s="40">
        <f t="shared" si="13"/>
        <v>471449.45999999985</v>
      </c>
      <c r="L49" s="40">
        <f t="shared" si="13"/>
        <v>576676</v>
      </c>
      <c r="M49" s="40">
        <f t="shared" si="13"/>
        <v>347408.02000000025</v>
      </c>
      <c r="N49" s="40">
        <f t="shared" si="13"/>
        <v>392129.79999999981</v>
      </c>
      <c r="O49" s="40">
        <f t="shared" si="13"/>
        <v>686134.35999999964</v>
      </c>
    </row>
    <row r="50" spans="1:15" x14ac:dyDescent="0.35">
      <c r="A50" s="2"/>
      <c r="B50" s="2"/>
      <c r="C50" s="2"/>
      <c r="D50" s="2"/>
      <c r="E50" s="2"/>
      <c r="F50" s="2"/>
      <c r="G50" s="2"/>
      <c r="H50" s="9"/>
      <c r="I50" s="9"/>
      <c r="J50" s="9"/>
      <c r="K50" s="9"/>
      <c r="L50" s="9"/>
      <c r="M50" s="9"/>
      <c r="N50" s="9"/>
      <c r="O50" s="9"/>
    </row>
    <row r="51" spans="1:15" x14ac:dyDescent="0.35">
      <c r="A51" s="2"/>
      <c r="B51" s="2"/>
      <c r="C51" s="41" t="s">
        <v>332</v>
      </c>
      <c r="D51" s="51">
        <f t="shared" ref="D51:O51" si="14">-SUM(D29+D32+D49)</f>
        <v>113985969.31999999</v>
      </c>
      <c r="E51" s="51">
        <f t="shared" si="14"/>
        <v>110865233.63000001</v>
      </c>
      <c r="F51" s="51">
        <f t="shared" si="14"/>
        <v>119135761.95999998</v>
      </c>
      <c r="G51" s="51">
        <f t="shared" si="14"/>
        <v>120105411.88</v>
      </c>
      <c r="H51" s="51">
        <f t="shared" si="14"/>
        <v>119681277.79000001</v>
      </c>
      <c r="I51" s="51">
        <f t="shared" si="14"/>
        <v>96921191.530000016</v>
      </c>
      <c r="J51" s="51">
        <f t="shared" si="14"/>
        <v>105261407.49000001</v>
      </c>
      <c r="K51" s="51">
        <f t="shared" si="14"/>
        <v>74393505.609999999</v>
      </c>
      <c r="L51" s="51">
        <f t="shared" si="14"/>
        <v>102696813.90999998</v>
      </c>
      <c r="M51" s="51">
        <f t="shared" si="14"/>
        <v>100953818.33000003</v>
      </c>
      <c r="N51" s="51">
        <f t="shared" si="14"/>
        <v>145283006.16999993</v>
      </c>
      <c r="O51" s="51">
        <f t="shared" si="14"/>
        <v>133025861.87000002</v>
      </c>
    </row>
    <row r="52" spans="1:15" x14ac:dyDescent="0.35">
      <c r="A52" s="2"/>
      <c r="B52" s="2"/>
      <c r="C52" s="2"/>
      <c r="D52" s="2"/>
      <c r="E52" s="2"/>
      <c r="F52" s="2"/>
      <c r="G52" s="2"/>
      <c r="H52" s="9"/>
      <c r="I52" s="9"/>
      <c r="J52" s="9"/>
      <c r="K52" s="9"/>
      <c r="L52" s="9"/>
      <c r="M52" s="9"/>
      <c r="N52" s="9"/>
      <c r="O52" s="9"/>
    </row>
    <row r="53" spans="1:15" x14ac:dyDescent="0.35">
      <c r="A53" s="2"/>
      <c r="B53" s="2" t="s">
        <v>472</v>
      </c>
      <c r="C53" s="34" t="s">
        <v>355</v>
      </c>
      <c r="D53" s="34"/>
      <c r="E53" s="34"/>
      <c r="F53" s="34"/>
      <c r="G53" s="34"/>
      <c r="H53" s="9">
        <v>2227879.52</v>
      </c>
      <c r="I53" s="9">
        <v>1350</v>
      </c>
      <c r="J53" s="9">
        <v>116576</v>
      </c>
      <c r="K53" s="9">
        <v>0</v>
      </c>
      <c r="L53" s="9">
        <v>143776.89999999991</v>
      </c>
      <c r="M53" s="9">
        <v>120248.33999999985</v>
      </c>
      <c r="N53" s="9">
        <v>46020.540000000037</v>
      </c>
      <c r="O53" s="9">
        <v>0</v>
      </c>
    </row>
    <row r="54" spans="1:15" x14ac:dyDescent="0.35">
      <c r="A54" s="2"/>
      <c r="B54" s="2" t="s">
        <v>473</v>
      </c>
      <c r="C54" s="34" t="s">
        <v>356</v>
      </c>
      <c r="D54" s="34"/>
      <c r="E54" s="34"/>
      <c r="F54" s="34"/>
      <c r="G54" s="34"/>
      <c r="H54" s="9">
        <v>0</v>
      </c>
      <c r="I54" s="9">
        <v>130000</v>
      </c>
      <c r="J54" s="9">
        <v>290000</v>
      </c>
      <c r="K54" s="9">
        <v>409200</v>
      </c>
      <c r="L54" s="9">
        <v>0</v>
      </c>
      <c r="M54" s="9">
        <v>104359.80000000005</v>
      </c>
      <c r="N54" s="9">
        <v>0</v>
      </c>
      <c r="O54" s="9">
        <v>0</v>
      </c>
    </row>
    <row r="55" spans="1:15" x14ac:dyDescent="0.35">
      <c r="A55" s="2"/>
      <c r="B55" s="2" t="s">
        <v>474</v>
      </c>
      <c r="C55" s="34" t="s">
        <v>357</v>
      </c>
      <c r="D55" s="34"/>
      <c r="E55" s="34"/>
      <c r="F55" s="34"/>
      <c r="G55" s="34"/>
      <c r="H55" s="9">
        <v>0</v>
      </c>
      <c r="I55" s="9">
        <v>1460217.26</v>
      </c>
      <c r="J55" s="9">
        <v>1433793.8699999999</v>
      </c>
      <c r="K55" s="9">
        <v>1109066.79</v>
      </c>
      <c r="L55" s="9">
        <v>999397.70000000019</v>
      </c>
      <c r="M55" s="9">
        <v>2379806.8999999994</v>
      </c>
      <c r="N55" s="9">
        <v>929965.33000000007</v>
      </c>
      <c r="O55" s="9">
        <v>1868006.8000000007</v>
      </c>
    </row>
    <row r="56" spans="1:15" x14ac:dyDescent="0.35">
      <c r="A56" s="2"/>
      <c r="B56" s="2" t="s">
        <v>475</v>
      </c>
      <c r="C56" s="34" t="s">
        <v>358</v>
      </c>
      <c r="D56" s="34"/>
      <c r="E56" s="34"/>
      <c r="F56" s="34"/>
      <c r="G56" s="34"/>
      <c r="H56" s="9">
        <v>0</v>
      </c>
      <c r="I56" s="9">
        <v>535972.16</v>
      </c>
      <c r="J56" s="9">
        <v>223791.32999999996</v>
      </c>
      <c r="K56" s="9">
        <v>500</v>
      </c>
      <c r="L56" s="9">
        <v>125437.20999999996</v>
      </c>
      <c r="M56" s="9">
        <v>502906.22</v>
      </c>
      <c r="N56" s="9">
        <v>32017.060000000056</v>
      </c>
      <c r="O56" s="9">
        <v>220626.20999999996</v>
      </c>
    </row>
    <row r="57" spans="1:15" x14ac:dyDescent="0.35">
      <c r="A57" s="2"/>
      <c r="B57" s="2" t="s">
        <v>476</v>
      </c>
      <c r="C57" s="34" t="s">
        <v>359</v>
      </c>
      <c r="D57" s="34"/>
      <c r="E57" s="34"/>
      <c r="F57" s="34"/>
      <c r="G57" s="34"/>
      <c r="H57" s="9">
        <v>0</v>
      </c>
      <c r="I57" s="9">
        <v>107327.08</v>
      </c>
      <c r="J57" s="9">
        <v>355434.83999999997</v>
      </c>
      <c r="K57" s="9">
        <v>99490.110000000044</v>
      </c>
      <c r="L57" s="9">
        <v>202915.70999999996</v>
      </c>
      <c r="M57" s="9">
        <v>137711.40000000002</v>
      </c>
      <c r="N57" s="9">
        <v>35972.540000000037</v>
      </c>
      <c r="O57" s="9">
        <v>37500.199999999953</v>
      </c>
    </row>
    <row r="58" spans="1:15" x14ac:dyDescent="0.35">
      <c r="A58" s="2"/>
      <c r="B58" s="2" t="s">
        <v>477</v>
      </c>
      <c r="C58" s="34" t="s">
        <v>360</v>
      </c>
      <c r="D58" s="34"/>
      <c r="E58" s="34"/>
      <c r="F58" s="34"/>
      <c r="G58" s="34"/>
      <c r="H58" s="9">
        <v>0</v>
      </c>
      <c r="I58" s="9">
        <v>94300</v>
      </c>
      <c r="J58" s="9">
        <v>82959</v>
      </c>
      <c r="K58" s="9">
        <v>32865</v>
      </c>
      <c r="L58" s="9">
        <v>14898</v>
      </c>
      <c r="M58" s="9">
        <v>110389</v>
      </c>
      <c r="N58" s="9">
        <v>53295</v>
      </c>
      <c r="O58" s="9">
        <v>104200</v>
      </c>
    </row>
    <row r="59" spans="1:15" x14ac:dyDescent="0.35">
      <c r="A59" s="2"/>
      <c r="B59" s="2" t="s">
        <v>478</v>
      </c>
      <c r="C59" s="34" t="s">
        <v>361</v>
      </c>
      <c r="D59" s="34"/>
      <c r="E59" s="34"/>
      <c r="F59" s="34"/>
      <c r="G59" s="34"/>
      <c r="H59" s="9">
        <v>0</v>
      </c>
      <c r="I59" s="9">
        <v>79345.289999999994</v>
      </c>
      <c r="J59" s="9">
        <v>151219.97999999998</v>
      </c>
      <c r="K59" s="9">
        <v>1300</v>
      </c>
      <c r="L59" s="9">
        <v>52310.690000000031</v>
      </c>
      <c r="M59" s="9">
        <v>23137</v>
      </c>
      <c r="N59" s="9">
        <v>224471.01999999996</v>
      </c>
      <c r="O59" s="9">
        <v>189031.30000000005</v>
      </c>
    </row>
    <row r="60" spans="1:15" x14ac:dyDescent="0.35">
      <c r="A60" s="2"/>
      <c r="B60" s="2" t="s">
        <v>479</v>
      </c>
      <c r="C60" s="34" t="s">
        <v>362</v>
      </c>
      <c r="D60" s="34"/>
      <c r="E60" s="34"/>
      <c r="F60" s="34"/>
      <c r="G60" s="34"/>
      <c r="H60" s="9">
        <v>38946.94</v>
      </c>
      <c r="I60" s="9">
        <v>27045</v>
      </c>
      <c r="J60" s="9">
        <v>63927.5</v>
      </c>
      <c r="K60" s="9">
        <v>31834.5</v>
      </c>
      <c r="L60" s="9">
        <v>30535</v>
      </c>
      <c r="M60" s="9">
        <v>10296</v>
      </c>
      <c r="N60" s="9">
        <v>28967.25</v>
      </c>
      <c r="O60" s="9">
        <v>17337.5</v>
      </c>
    </row>
    <row r="61" spans="1:15" x14ac:dyDescent="0.35">
      <c r="A61" s="2"/>
      <c r="B61" s="2" t="s">
        <v>480</v>
      </c>
      <c r="C61" s="34" t="s">
        <v>363</v>
      </c>
      <c r="D61" s="34"/>
      <c r="E61" s="34"/>
      <c r="F61" s="34"/>
      <c r="G61" s="34"/>
      <c r="H61" s="9">
        <v>1725166.8</v>
      </c>
      <c r="I61" s="9">
        <v>1674393.9999999998</v>
      </c>
      <c r="J61" s="9">
        <v>1485378</v>
      </c>
      <c r="K61" s="9">
        <v>1514711</v>
      </c>
      <c r="L61" s="9">
        <v>1386074</v>
      </c>
      <c r="M61" s="9">
        <v>1680734.0000000009</v>
      </c>
      <c r="N61" s="9">
        <v>1242009</v>
      </c>
      <c r="O61" s="9">
        <v>2108981</v>
      </c>
    </row>
    <row r="62" spans="1:15" x14ac:dyDescent="0.35">
      <c r="A62" s="2"/>
      <c r="B62" s="2" t="s">
        <v>481</v>
      </c>
      <c r="C62" s="34" t="s">
        <v>364</v>
      </c>
      <c r="D62" s="34"/>
      <c r="E62" s="34"/>
      <c r="F62" s="34"/>
      <c r="G62" s="34"/>
      <c r="H62" s="9">
        <v>0</v>
      </c>
      <c r="I62" s="9">
        <v>109712</v>
      </c>
      <c r="J62" s="9">
        <v>110568</v>
      </c>
      <c r="K62" s="9">
        <v>140187.13</v>
      </c>
      <c r="L62" s="9">
        <v>69436.820000000007</v>
      </c>
      <c r="M62" s="9">
        <v>0</v>
      </c>
      <c r="N62" s="9">
        <v>109367.98999999993</v>
      </c>
      <c r="O62" s="9">
        <v>187764</v>
      </c>
    </row>
    <row r="63" spans="1:15" x14ac:dyDescent="0.35">
      <c r="A63" s="2"/>
      <c r="B63" s="2" t="s">
        <v>482</v>
      </c>
      <c r="C63" s="34" t="s">
        <v>365</v>
      </c>
      <c r="D63" s="34"/>
      <c r="E63" s="34"/>
      <c r="F63" s="34"/>
      <c r="G63" s="34"/>
      <c r="H63" s="9">
        <v>1034217</v>
      </c>
      <c r="I63" s="9">
        <v>63043.129999999888</v>
      </c>
      <c r="J63" s="9">
        <v>114880</v>
      </c>
      <c r="K63" s="9">
        <v>272533.06000000006</v>
      </c>
      <c r="L63" s="9">
        <v>19938</v>
      </c>
      <c r="M63" s="9">
        <v>18977</v>
      </c>
      <c r="N63" s="9">
        <v>187097.5</v>
      </c>
      <c r="O63" s="9">
        <v>50365</v>
      </c>
    </row>
    <row r="64" spans="1:15" x14ac:dyDescent="0.35">
      <c r="A64" s="2"/>
      <c r="B64" s="2" t="s">
        <v>483</v>
      </c>
      <c r="C64" s="34" t="s">
        <v>366</v>
      </c>
      <c r="D64" s="34"/>
      <c r="E64" s="34"/>
      <c r="F64" s="34"/>
      <c r="G64" s="34"/>
      <c r="H64" s="9">
        <v>0</v>
      </c>
      <c r="I64" s="9">
        <v>36814.6</v>
      </c>
      <c r="J64" s="9">
        <v>427614.89</v>
      </c>
      <c r="K64" s="9">
        <v>516434</v>
      </c>
      <c r="L64" s="9">
        <v>29431.800000000047</v>
      </c>
      <c r="M64" s="9">
        <v>75416.919999999925</v>
      </c>
      <c r="N64" s="9">
        <v>115193</v>
      </c>
      <c r="O64" s="9">
        <v>21257</v>
      </c>
    </row>
    <row r="65" spans="1:15" x14ac:dyDescent="0.35">
      <c r="A65" s="2"/>
      <c r="B65" s="2" t="s">
        <v>484</v>
      </c>
      <c r="C65" s="34" t="s">
        <v>367</v>
      </c>
      <c r="D65" s="34"/>
      <c r="E65" s="34"/>
      <c r="F65" s="34"/>
      <c r="G65" s="34"/>
      <c r="H65" s="9">
        <v>3469260.28</v>
      </c>
      <c r="I65" s="9">
        <v>586902.46000000043</v>
      </c>
      <c r="J65" s="9">
        <v>855482.64999999944</v>
      </c>
      <c r="K65" s="9">
        <v>668099.6400000006</v>
      </c>
      <c r="L65" s="9">
        <v>392673.63999999966</v>
      </c>
      <c r="M65" s="9">
        <v>423594.5</v>
      </c>
      <c r="N65" s="9">
        <v>626311.0700000003</v>
      </c>
      <c r="O65" s="9">
        <v>1040781.1200000001</v>
      </c>
    </row>
    <row r="66" spans="1:15" x14ac:dyDescent="0.35">
      <c r="A66" s="2"/>
      <c r="B66" s="2" t="s">
        <v>485</v>
      </c>
      <c r="C66" s="34" t="s">
        <v>368</v>
      </c>
      <c r="D66" s="34"/>
      <c r="E66" s="34"/>
      <c r="F66" s="34"/>
      <c r="G66" s="34"/>
      <c r="H66" s="9">
        <v>0</v>
      </c>
      <c r="I66" s="9">
        <v>741752</v>
      </c>
      <c r="J66" s="9">
        <v>997551.3899999999</v>
      </c>
      <c r="K66" s="9">
        <v>651360.00000000023</v>
      </c>
      <c r="L66" s="9">
        <v>1138878</v>
      </c>
      <c r="M66" s="9">
        <v>558690.25</v>
      </c>
      <c r="N66" s="9">
        <v>1101792.6499999999</v>
      </c>
      <c r="O66" s="9">
        <v>3116998.0999999996</v>
      </c>
    </row>
    <row r="67" spans="1:15" x14ac:dyDescent="0.35">
      <c r="A67" s="2"/>
      <c r="B67" s="2" t="s">
        <v>486</v>
      </c>
      <c r="C67" s="34" t="s">
        <v>369</v>
      </c>
      <c r="D67" s="34"/>
      <c r="E67" s="34"/>
      <c r="F67" s="34"/>
      <c r="G67" s="34"/>
      <c r="H67" s="9">
        <v>0</v>
      </c>
      <c r="I67" s="9">
        <v>906304.91</v>
      </c>
      <c r="J67" s="9">
        <v>3446265.63</v>
      </c>
      <c r="K67" s="9">
        <v>481747.25</v>
      </c>
      <c r="L67" s="9">
        <v>931513.6799999997</v>
      </c>
      <c r="M67" s="9">
        <v>2648559.5599999996</v>
      </c>
      <c r="N67" s="9">
        <v>1404485.1300000008</v>
      </c>
      <c r="O67" s="9">
        <v>1122215.2599999998</v>
      </c>
    </row>
    <row r="68" spans="1:15" x14ac:dyDescent="0.35">
      <c r="A68" s="2"/>
      <c r="B68" s="2" t="s">
        <v>487</v>
      </c>
      <c r="C68" s="34" t="s">
        <v>370</v>
      </c>
      <c r="D68" s="34"/>
      <c r="E68" s="34"/>
      <c r="F68" s="34"/>
      <c r="G68" s="34"/>
      <c r="H68" s="9">
        <v>0</v>
      </c>
      <c r="I68" s="9">
        <v>0</v>
      </c>
      <c r="J68" s="9">
        <v>0</v>
      </c>
      <c r="K68" s="9">
        <v>0</v>
      </c>
      <c r="L68" s="9">
        <v>0</v>
      </c>
      <c r="M68" s="9">
        <v>0</v>
      </c>
      <c r="N68" s="9">
        <v>63758.97</v>
      </c>
      <c r="O68" s="9">
        <v>0</v>
      </c>
    </row>
    <row r="69" spans="1:15" x14ac:dyDescent="0.35">
      <c r="A69" s="2"/>
      <c r="B69" s="2" t="s">
        <v>488</v>
      </c>
      <c r="C69" s="34" t="s">
        <v>371</v>
      </c>
      <c r="D69" s="34"/>
      <c r="E69" s="34"/>
      <c r="F69" s="34"/>
      <c r="G69" s="34"/>
      <c r="H69" s="9">
        <v>0</v>
      </c>
      <c r="I69" s="9">
        <v>16231.79</v>
      </c>
      <c r="J69" s="9">
        <v>19586.900000000001</v>
      </c>
      <c r="K69" s="9">
        <v>100678.6</v>
      </c>
      <c r="L69" s="9">
        <v>0</v>
      </c>
      <c r="M69" s="9">
        <v>3360</v>
      </c>
      <c r="N69" s="9">
        <v>3360</v>
      </c>
      <c r="O69" s="9">
        <v>9494.5</v>
      </c>
    </row>
    <row r="70" spans="1:15" x14ac:dyDescent="0.35">
      <c r="A70" s="2"/>
      <c r="B70" s="2" t="s">
        <v>489</v>
      </c>
      <c r="C70" s="34" t="s">
        <v>372</v>
      </c>
      <c r="D70" s="34"/>
      <c r="E70" s="34"/>
      <c r="F70" s="34"/>
      <c r="G70" s="34"/>
      <c r="H70" s="9">
        <v>2000</v>
      </c>
      <c r="I70" s="9">
        <v>133471</v>
      </c>
      <c r="J70" s="9">
        <v>196537</v>
      </c>
      <c r="K70" s="9">
        <v>52700</v>
      </c>
      <c r="L70" s="9">
        <v>55950</v>
      </c>
      <c r="M70" s="9">
        <v>95547.280000000028</v>
      </c>
      <c r="N70" s="9">
        <v>403740</v>
      </c>
      <c r="O70" s="9">
        <v>1495649.66</v>
      </c>
    </row>
    <row r="71" spans="1:15" x14ac:dyDescent="0.35">
      <c r="A71" s="2"/>
      <c r="B71" s="2" t="s">
        <v>490</v>
      </c>
      <c r="C71" s="34" t="s">
        <v>373</v>
      </c>
      <c r="D71" s="34"/>
      <c r="E71" s="34"/>
      <c r="F71" s="34"/>
      <c r="G71" s="34"/>
      <c r="H71" s="9">
        <v>2550175.3199999998</v>
      </c>
      <c r="I71" s="9">
        <v>2075287.1600000006</v>
      </c>
      <c r="J71" s="9">
        <v>4013239.66</v>
      </c>
      <c r="K71" s="9">
        <v>2154796.16</v>
      </c>
      <c r="L71" s="9">
        <v>1964124.2599999998</v>
      </c>
      <c r="M71" s="9">
        <v>414965.75999999978</v>
      </c>
      <c r="N71" s="9">
        <v>1244897.2799999993</v>
      </c>
      <c r="O71" s="9">
        <v>1678208.9299999997</v>
      </c>
    </row>
    <row r="72" spans="1:15" x14ac:dyDescent="0.35">
      <c r="A72" s="2"/>
      <c r="B72" s="2" t="s">
        <v>491</v>
      </c>
      <c r="C72" s="34" t="s">
        <v>374</v>
      </c>
      <c r="D72" s="34"/>
      <c r="E72" s="34"/>
      <c r="F72" s="34"/>
      <c r="G72" s="34"/>
      <c r="H72" s="9">
        <v>70623686.959999993</v>
      </c>
      <c r="I72" s="9">
        <v>57597551.290000007</v>
      </c>
      <c r="J72" s="9">
        <v>50762301.169999987</v>
      </c>
      <c r="K72" s="9">
        <v>41029833.230000019</v>
      </c>
      <c r="L72" s="9">
        <v>54814908.080000013</v>
      </c>
      <c r="M72" s="9">
        <v>55490974.899999976</v>
      </c>
      <c r="N72" s="9">
        <v>65410374</v>
      </c>
      <c r="O72" s="9">
        <v>68558745.459999979</v>
      </c>
    </row>
    <row r="73" spans="1:15" x14ac:dyDescent="0.35">
      <c r="A73" s="2"/>
      <c r="B73" s="2" t="s">
        <v>492</v>
      </c>
      <c r="C73" s="34" t="s">
        <v>375</v>
      </c>
      <c r="D73" s="34"/>
      <c r="E73" s="34"/>
      <c r="F73" s="34"/>
      <c r="G73" s="34"/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5783.75</v>
      </c>
      <c r="N73" s="9">
        <v>0</v>
      </c>
      <c r="O73" s="9">
        <v>0</v>
      </c>
    </row>
    <row r="74" spans="1:15" x14ac:dyDescent="0.35">
      <c r="A74" s="2"/>
      <c r="B74" s="2" t="s">
        <v>493</v>
      </c>
      <c r="C74" s="34" t="s">
        <v>376</v>
      </c>
      <c r="D74" s="34"/>
      <c r="E74" s="34"/>
      <c r="F74" s="34"/>
      <c r="G74" s="34"/>
      <c r="H74" s="9">
        <v>378603.06</v>
      </c>
      <c r="I74" s="9">
        <v>914325.89999999991</v>
      </c>
      <c r="J74" s="9">
        <v>308020.78000000003</v>
      </c>
      <c r="K74" s="9">
        <v>320964.12000000011</v>
      </c>
      <c r="L74" s="9">
        <v>0</v>
      </c>
      <c r="M74" s="9">
        <v>0</v>
      </c>
      <c r="N74" s="9">
        <v>0</v>
      </c>
      <c r="O74" s="9">
        <v>471211.6100000001</v>
      </c>
    </row>
    <row r="75" spans="1:15" x14ac:dyDescent="0.35">
      <c r="A75" s="2"/>
      <c r="B75" s="2" t="s">
        <v>494</v>
      </c>
      <c r="C75" s="34" t="s">
        <v>377</v>
      </c>
      <c r="D75" s="34"/>
      <c r="E75" s="34"/>
      <c r="F75" s="34"/>
      <c r="G75" s="34"/>
      <c r="H75" s="9">
        <v>5594723.3499999996</v>
      </c>
      <c r="I75" s="9">
        <v>5088863.620000001</v>
      </c>
      <c r="J75" s="9">
        <v>4254845.58</v>
      </c>
      <c r="K75" s="9">
        <v>5170476.3299999982</v>
      </c>
      <c r="L75" s="9">
        <v>5175855.120000001</v>
      </c>
      <c r="M75" s="9">
        <v>5630510.620000001</v>
      </c>
      <c r="N75" s="9">
        <v>3844871.1699999981</v>
      </c>
      <c r="O75" s="9">
        <v>6680309.1199999973</v>
      </c>
    </row>
    <row r="76" spans="1:15" x14ac:dyDescent="0.35">
      <c r="A76" s="2"/>
      <c r="B76" s="2" t="s">
        <v>495</v>
      </c>
      <c r="C76" s="34" t="s">
        <v>378</v>
      </c>
      <c r="D76" s="34"/>
      <c r="E76" s="34"/>
      <c r="F76" s="34"/>
      <c r="G76" s="34"/>
      <c r="H76" s="9">
        <v>0</v>
      </c>
      <c r="I76" s="9">
        <v>0</v>
      </c>
      <c r="J76" s="9">
        <v>0</v>
      </c>
      <c r="K76" s="9">
        <v>0</v>
      </c>
      <c r="L76" s="9">
        <v>418.6</v>
      </c>
      <c r="M76" s="9">
        <v>0</v>
      </c>
      <c r="N76" s="9">
        <v>0</v>
      </c>
      <c r="O76" s="9">
        <v>94050</v>
      </c>
    </row>
    <row r="77" spans="1:15" x14ac:dyDescent="0.35">
      <c r="A77" s="2"/>
      <c r="B77" s="2" t="s">
        <v>496</v>
      </c>
      <c r="C77" s="34" t="s">
        <v>379</v>
      </c>
      <c r="D77" s="34"/>
      <c r="E77" s="34"/>
      <c r="F77" s="34"/>
      <c r="G77" s="34"/>
      <c r="H77" s="9">
        <v>1379566.79</v>
      </c>
      <c r="I77" s="9">
        <v>0</v>
      </c>
      <c r="J77" s="9">
        <v>0</v>
      </c>
      <c r="K77" s="9">
        <v>0</v>
      </c>
      <c r="L77" s="9">
        <v>0</v>
      </c>
      <c r="M77" s="9">
        <v>0</v>
      </c>
      <c r="N77" s="9">
        <v>0</v>
      </c>
      <c r="O77" s="9">
        <v>-505372.06000000006</v>
      </c>
    </row>
    <row r="78" spans="1:15" x14ac:dyDescent="0.35">
      <c r="A78" s="2"/>
      <c r="B78" s="2" t="s">
        <v>497</v>
      </c>
      <c r="C78" s="34" t="s">
        <v>380</v>
      </c>
      <c r="D78" s="34"/>
      <c r="E78" s="34"/>
      <c r="F78" s="34"/>
      <c r="G78" s="34"/>
      <c r="H78" s="9">
        <v>4514.3500000000004</v>
      </c>
      <c r="I78" s="9">
        <v>1528</v>
      </c>
      <c r="J78" s="9">
        <v>6526.0599999999995</v>
      </c>
      <c r="K78" s="9">
        <v>2129.1200000000008</v>
      </c>
      <c r="L78" s="9">
        <v>3336.1999999999989</v>
      </c>
      <c r="M78" s="9">
        <v>45302.86</v>
      </c>
      <c r="N78" s="9">
        <v>1432.5500000000029</v>
      </c>
      <c r="O78" s="9">
        <v>233.5</v>
      </c>
    </row>
    <row r="79" spans="1:15" x14ac:dyDescent="0.35">
      <c r="A79" s="2"/>
      <c r="B79" s="2" t="s">
        <v>498</v>
      </c>
      <c r="C79" s="34" t="s">
        <v>381</v>
      </c>
      <c r="D79" s="34"/>
      <c r="E79" s="34"/>
      <c r="F79" s="34"/>
      <c r="G79" s="34"/>
      <c r="H79" s="9">
        <v>234933.48</v>
      </c>
      <c r="I79" s="9">
        <v>0</v>
      </c>
      <c r="J79" s="9">
        <v>0</v>
      </c>
      <c r="K79" s="9">
        <v>18371.22</v>
      </c>
      <c r="L79" s="9">
        <v>0</v>
      </c>
      <c r="M79" s="9">
        <v>92960</v>
      </c>
      <c r="N79" s="9">
        <v>0</v>
      </c>
      <c r="O79" s="9">
        <v>0</v>
      </c>
    </row>
    <row r="80" spans="1:15" x14ac:dyDescent="0.35">
      <c r="A80" s="2"/>
      <c r="B80" s="2" t="s">
        <v>499</v>
      </c>
      <c r="C80" s="34" t="s">
        <v>382</v>
      </c>
      <c r="D80" s="34"/>
      <c r="E80" s="34"/>
      <c r="F80" s="34"/>
      <c r="G80" s="34"/>
      <c r="H80" s="9">
        <v>0</v>
      </c>
      <c r="I80" s="9">
        <v>273575.83</v>
      </c>
      <c r="J80" s="9">
        <v>153510</v>
      </c>
      <c r="K80" s="9">
        <v>365672.62999999995</v>
      </c>
      <c r="L80" s="9">
        <v>294034.92999999993</v>
      </c>
      <c r="M80" s="9">
        <v>0</v>
      </c>
      <c r="N80" s="9">
        <v>307892.35000000009</v>
      </c>
      <c r="O80" s="9">
        <v>53750</v>
      </c>
    </row>
    <row r="81" spans="1:17" x14ac:dyDescent="0.35">
      <c r="A81" s="2"/>
      <c r="B81" s="2" t="s">
        <v>500</v>
      </c>
      <c r="C81" s="34" t="s">
        <v>383</v>
      </c>
      <c r="D81" s="34"/>
      <c r="E81" s="34"/>
      <c r="F81" s="34"/>
      <c r="G81" s="34"/>
      <c r="H81" s="9">
        <v>61492356.200000003</v>
      </c>
      <c r="I81" s="9">
        <v>55323481.439999998</v>
      </c>
      <c r="J81" s="9">
        <v>52612701.230000004</v>
      </c>
      <c r="K81" s="9">
        <v>43946078.889999986</v>
      </c>
      <c r="L81" s="9">
        <v>53835869.110000014</v>
      </c>
      <c r="M81" s="9">
        <v>53126156.850000024</v>
      </c>
      <c r="N81" s="9">
        <v>69591061.409999967</v>
      </c>
      <c r="O81" s="9">
        <v>69956111.370000005</v>
      </c>
    </row>
    <row r="82" spans="1:17" x14ac:dyDescent="0.35">
      <c r="A82" s="2"/>
      <c r="B82" s="2" t="s">
        <v>501</v>
      </c>
      <c r="C82" s="34" t="s">
        <v>384</v>
      </c>
      <c r="D82" s="34"/>
      <c r="E82" s="34"/>
      <c r="F82" s="34"/>
      <c r="G82" s="34"/>
      <c r="H82" s="9">
        <v>94600</v>
      </c>
      <c r="I82" s="9">
        <v>310380</v>
      </c>
      <c r="J82" s="9">
        <v>30000</v>
      </c>
      <c r="K82" s="9">
        <v>0</v>
      </c>
      <c r="L82" s="9">
        <v>5848</v>
      </c>
      <c r="M82" s="9">
        <v>33380.799999999988</v>
      </c>
      <c r="N82" s="9">
        <v>52950.000000000058</v>
      </c>
      <c r="O82" s="9">
        <v>958850</v>
      </c>
    </row>
    <row r="83" spans="1:17" x14ac:dyDescent="0.35">
      <c r="A83" s="2"/>
      <c r="B83" s="2" t="s">
        <v>502</v>
      </c>
      <c r="C83" s="34" t="s">
        <v>385</v>
      </c>
      <c r="D83" s="34"/>
      <c r="E83" s="34"/>
      <c r="F83" s="34"/>
      <c r="G83" s="34"/>
      <c r="H83" s="9">
        <v>16350676.779999999</v>
      </c>
      <c r="I83" s="9">
        <v>19572.790000000969</v>
      </c>
      <c r="J83" s="9">
        <v>-121125</v>
      </c>
      <c r="K83" s="9">
        <v>0</v>
      </c>
      <c r="L83" s="9">
        <v>0</v>
      </c>
      <c r="M83" s="9">
        <v>-15.870000001043081</v>
      </c>
      <c r="N83" s="9">
        <v>0</v>
      </c>
      <c r="O83" s="9">
        <v>0</v>
      </c>
    </row>
    <row r="84" spans="1:17" x14ac:dyDescent="0.35">
      <c r="A84" s="2"/>
      <c r="B84" s="2" t="s">
        <v>503</v>
      </c>
      <c r="C84" s="34" t="s">
        <v>386</v>
      </c>
      <c r="D84" s="34"/>
      <c r="E84" s="34"/>
      <c r="F84" s="34"/>
      <c r="G84" s="34"/>
      <c r="H84" s="9">
        <v>3145890.04</v>
      </c>
      <c r="I84" s="9">
        <v>2168402.2699999996</v>
      </c>
      <c r="J84" s="9">
        <v>780578.52000000048</v>
      </c>
      <c r="K84" s="9">
        <v>1411421.5700000003</v>
      </c>
      <c r="L84" s="9">
        <v>984238.24000000022</v>
      </c>
      <c r="M84" s="9">
        <v>1515868.2199999988</v>
      </c>
      <c r="N84" s="9">
        <v>1702758.370000001</v>
      </c>
      <c r="O84" s="9">
        <v>3265040.34</v>
      </c>
    </row>
    <row r="85" spans="1:17" x14ac:dyDescent="0.35">
      <c r="A85" s="2"/>
      <c r="B85" s="2" t="s">
        <v>504</v>
      </c>
      <c r="C85" s="34" t="s">
        <v>387</v>
      </c>
      <c r="D85" s="34"/>
      <c r="E85" s="34"/>
      <c r="F85" s="34"/>
      <c r="G85" s="34"/>
      <c r="H85" s="9">
        <v>0</v>
      </c>
      <c r="I85" s="9">
        <v>1800</v>
      </c>
      <c r="J85" s="9">
        <v>0</v>
      </c>
      <c r="K85" s="9">
        <v>5517</v>
      </c>
      <c r="L85" s="9">
        <v>0</v>
      </c>
      <c r="M85" s="9">
        <v>0</v>
      </c>
      <c r="N85" s="9">
        <v>0</v>
      </c>
      <c r="O85" s="9">
        <v>0</v>
      </c>
    </row>
    <row r="86" spans="1:17" x14ac:dyDescent="0.35">
      <c r="A86" s="2"/>
      <c r="B86" s="2" t="s">
        <v>505</v>
      </c>
      <c r="C86" s="34" t="s">
        <v>388</v>
      </c>
      <c r="D86" s="34"/>
      <c r="E86" s="34"/>
      <c r="F86" s="34"/>
      <c r="G86" s="34"/>
      <c r="H86" s="9">
        <v>1696492.5</v>
      </c>
      <c r="I86" s="9">
        <v>1430217.7000000002</v>
      </c>
      <c r="J86" s="9">
        <v>2678319.7000000002</v>
      </c>
      <c r="K86" s="9">
        <v>999784.5</v>
      </c>
      <c r="L86" s="9">
        <v>2009649.7999999989</v>
      </c>
      <c r="M86" s="9">
        <v>2799323.5</v>
      </c>
      <c r="N86" s="9">
        <v>1936649.5</v>
      </c>
      <c r="O86" s="9">
        <v>0</v>
      </c>
    </row>
    <row r="87" spans="1:17" x14ac:dyDescent="0.35">
      <c r="A87" s="2"/>
      <c r="B87" s="2" t="s">
        <v>506</v>
      </c>
      <c r="C87" s="34" t="s">
        <v>389</v>
      </c>
      <c r="D87" s="34"/>
      <c r="E87" s="34"/>
      <c r="F87" s="34"/>
      <c r="G87" s="34"/>
      <c r="H87" s="9">
        <v>1939545.96</v>
      </c>
      <c r="I87" s="9">
        <v>2053110.2999999998</v>
      </c>
      <c r="J87" s="9">
        <v>2963925.3100000005</v>
      </c>
      <c r="K87" s="9">
        <v>2593140.9299999997</v>
      </c>
      <c r="L87" s="9">
        <v>2316651.7300000004</v>
      </c>
      <c r="M87" s="9">
        <v>2270193.5199999996</v>
      </c>
      <c r="N87" s="9">
        <v>2218119.3800000008</v>
      </c>
      <c r="O87" s="9">
        <v>1409339.1999999974</v>
      </c>
    </row>
    <row r="88" spans="1:17" x14ac:dyDescent="0.35">
      <c r="A88" s="2"/>
      <c r="B88" s="2" t="s">
        <v>507</v>
      </c>
      <c r="C88" s="34" t="s">
        <v>344</v>
      </c>
      <c r="D88" s="34"/>
      <c r="E88" s="34"/>
      <c r="F88" s="34"/>
      <c r="G88" s="34"/>
      <c r="H88" s="9">
        <v>-70334890.400000006</v>
      </c>
      <c r="I88" s="9">
        <v>-60166271.489999995</v>
      </c>
      <c r="J88" s="9">
        <v>-58892238.700000003</v>
      </c>
      <c r="K88" s="9">
        <v>-46833297.120000005</v>
      </c>
      <c r="L88" s="9">
        <v>-57034853.780000001</v>
      </c>
      <c r="M88" s="9">
        <v>-51906427.689999998</v>
      </c>
      <c r="N88" s="9">
        <v>-69112987.139999986</v>
      </c>
      <c r="O88" s="9">
        <v>-72179250.900000036</v>
      </c>
    </row>
    <row r="89" spans="1:17" x14ac:dyDescent="0.35">
      <c r="A89" s="2"/>
      <c r="B89" s="2" t="s">
        <v>508</v>
      </c>
      <c r="C89" s="34" t="s">
        <v>345</v>
      </c>
      <c r="D89" s="34"/>
      <c r="E89" s="34"/>
      <c r="F89" s="34"/>
      <c r="G89" s="34"/>
      <c r="H89" s="9">
        <v>-5952282.5700000003</v>
      </c>
      <c r="I89" s="9">
        <v>0</v>
      </c>
      <c r="J89" s="9">
        <v>-114957.5</v>
      </c>
      <c r="K89" s="9">
        <v>0</v>
      </c>
      <c r="L89" s="9">
        <v>3033.4500000001863</v>
      </c>
      <c r="M89" s="9">
        <v>0</v>
      </c>
      <c r="N89" s="9">
        <v>0</v>
      </c>
      <c r="O89" s="9">
        <v>15484.280000000261</v>
      </c>
    </row>
    <row r="90" spans="1:17" x14ac:dyDescent="0.35">
      <c r="A90" s="2"/>
      <c r="B90" s="2" t="s">
        <v>509</v>
      </c>
      <c r="C90" s="34" t="s">
        <v>346</v>
      </c>
      <c r="D90" s="34"/>
      <c r="E90" s="34"/>
      <c r="F90" s="34"/>
      <c r="G90" s="34"/>
      <c r="H90" s="9">
        <v>-5235151.4800000004</v>
      </c>
      <c r="I90" s="9">
        <v>-4805244.2199999988</v>
      </c>
      <c r="J90" s="9">
        <v>-4487129.620000001</v>
      </c>
      <c r="K90" s="9">
        <v>-5198384.16</v>
      </c>
      <c r="L90" s="9">
        <v>-5481252.1699999981</v>
      </c>
      <c r="M90" s="9">
        <v>-6048647.2400000021</v>
      </c>
      <c r="N90" s="9">
        <v>-4058386.6799999997</v>
      </c>
      <c r="O90" s="9">
        <v>-5744644.5700000003</v>
      </c>
    </row>
    <row r="91" spans="1:17" x14ac:dyDescent="0.35">
      <c r="A91" s="2"/>
      <c r="B91" s="2" t="s">
        <v>510</v>
      </c>
      <c r="C91" s="34" t="s">
        <v>348</v>
      </c>
      <c r="D91" s="34"/>
      <c r="E91" s="34"/>
      <c r="F91" s="34"/>
      <c r="G91" s="34"/>
      <c r="H91" s="9">
        <v>39072</v>
      </c>
      <c r="I91" s="9">
        <v>-45921.520000000004</v>
      </c>
      <c r="J91" s="9">
        <v>-508656.8</v>
      </c>
      <c r="K91" s="9">
        <v>59935</v>
      </c>
      <c r="L91" s="9">
        <v>-69.049999999988358</v>
      </c>
      <c r="M91" s="9">
        <v>-649483.6</v>
      </c>
      <c r="N91" s="9">
        <v>162443.13</v>
      </c>
      <c r="O91" s="9">
        <v>-71840</v>
      </c>
    </row>
    <row r="92" spans="1:17" x14ac:dyDescent="0.35">
      <c r="A92" s="2"/>
      <c r="B92" s="2" t="s">
        <v>511</v>
      </c>
      <c r="C92" s="34" t="s">
        <v>441</v>
      </c>
      <c r="D92" s="34"/>
      <c r="E92" s="34"/>
      <c r="F92" s="34"/>
      <c r="G92" s="34"/>
      <c r="H92" s="9">
        <v>0</v>
      </c>
      <c r="I92" s="9">
        <v>0</v>
      </c>
      <c r="J92" s="9">
        <v>0</v>
      </c>
      <c r="K92" s="9">
        <v>0</v>
      </c>
      <c r="L92" s="9">
        <v>0</v>
      </c>
      <c r="M92" s="9">
        <v>0</v>
      </c>
      <c r="N92" s="9">
        <v>0</v>
      </c>
      <c r="O92" s="9">
        <v>0</v>
      </c>
      <c r="Q92" s="12"/>
    </row>
    <row r="93" spans="1:17" x14ac:dyDescent="0.35">
      <c r="A93" s="2"/>
      <c r="B93" s="2"/>
      <c r="C93" s="23" t="s">
        <v>83</v>
      </c>
      <c r="D93" s="8">
        <v>0</v>
      </c>
      <c r="E93" s="8">
        <v>0</v>
      </c>
      <c r="F93" s="8">
        <v>2000</v>
      </c>
      <c r="G93" s="8">
        <v>0</v>
      </c>
      <c r="H93" s="9"/>
      <c r="I93" s="9"/>
      <c r="J93" s="9"/>
      <c r="K93" s="9"/>
      <c r="L93" s="9"/>
      <c r="M93" s="9"/>
      <c r="N93" s="9"/>
      <c r="O93" s="9"/>
    </row>
    <row r="94" spans="1:17" x14ac:dyDescent="0.35">
      <c r="A94" s="2"/>
      <c r="B94" s="2"/>
      <c r="C94" s="23" t="s">
        <v>84</v>
      </c>
      <c r="D94" s="8">
        <v>376.96</v>
      </c>
      <c r="E94" s="8">
        <v>0</v>
      </c>
      <c r="F94" s="8">
        <v>1636.8</v>
      </c>
      <c r="G94" s="8">
        <v>0</v>
      </c>
      <c r="H94" s="9"/>
      <c r="I94" s="9"/>
      <c r="J94" s="9"/>
      <c r="K94" s="9"/>
      <c r="L94" s="9"/>
      <c r="M94" s="9"/>
      <c r="N94" s="9"/>
      <c r="O94" s="9"/>
    </row>
    <row r="95" spans="1:17" x14ac:dyDescent="0.35">
      <c r="A95" s="2"/>
      <c r="B95" s="2"/>
      <c r="C95" s="23" t="s">
        <v>85</v>
      </c>
      <c r="D95" s="8">
        <v>124016.4</v>
      </c>
      <c r="E95" s="8">
        <v>71960</v>
      </c>
      <c r="F95" s="8">
        <v>37580</v>
      </c>
      <c r="G95" s="8">
        <v>0</v>
      </c>
      <c r="H95" s="9"/>
      <c r="I95" s="9"/>
      <c r="J95" s="9"/>
      <c r="K95" s="9"/>
      <c r="L95" s="9"/>
      <c r="M95" s="9"/>
      <c r="N95" s="9"/>
      <c r="O95" s="9"/>
    </row>
    <row r="96" spans="1:17" x14ac:dyDescent="0.35">
      <c r="A96" s="2"/>
      <c r="B96" s="2"/>
      <c r="C96" s="23" t="s">
        <v>86</v>
      </c>
      <c r="D96" s="8">
        <v>2400</v>
      </c>
      <c r="E96" s="8">
        <v>600</v>
      </c>
      <c r="F96" s="8">
        <v>1600</v>
      </c>
      <c r="G96" s="8">
        <v>0</v>
      </c>
      <c r="H96" s="9"/>
      <c r="I96" s="9"/>
      <c r="J96" s="9"/>
      <c r="K96" s="9"/>
      <c r="L96" s="9"/>
      <c r="M96" s="9"/>
      <c r="N96" s="9"/>
      <c r="O96" s="9"/>
    </row>
    <row r="97" spans="1:15" x14ac:dyDescent="0.35">
      <c r="A97" s="2"/>
      <c r="B97" s="2"/>
      <c r="C97" s="23" t="s">
        <v>90</v>
      </c>
      <c r="D97" s="8">
        <v>3965</v>
      </c>
      <c r="E97" s="8">
        <v>3965</v>
      </c>
      <c r="F97" s="8">
        <v>3965</v>
      </c>
      <c r="G97" s="8">
        <v>3965</v>
      </c>
      <c r="H97" s="9"/>
      <c r="I97" s="9"/>
      <c r="J97" s="9"/>
      <c r="K97" s="9"/>
      <c r="L97" s="9"/>
      <c r="M97" s="9"/>
      <c r="N97" s="9"/>
      <c r="O97" s="9"/>
    </row>
    <row r="98" spans="1:15" x14ac:dyDescent="0.35">
      <c r="A98" s="2"/>
      <c r="B98" s="2"/>
      <c r="C98" s="23" t="s">
        <v>91</v>
      </c>
      <c r="D98" s="8">
        <v>71193.52</v>
      </c>
      <c r="E98" s="8">
        <v>49015.4</v>
      </c>
      <c r="F98" s="8">
        <v>76383.97</v>
      </c>
      <c r="G98" s="8">
        <v>185766.37</v>
      </c>
      <c r="H98" s="9"/>
      <c r="I98" s="9"/>
      <c r="J98" s="9"/>
      <c r="K98" s="9"/>
      <c r="L98" s="9"/>
      <c r="M98" s="9"/>
      <c r="N98" s="9"/>
      <c r="O98" s="9"/>
    </row>
    <row r="99" spans="1:15" x14ac:dyDescent="0.35">
      <c r="A99" s="2"/>
      <c r="B99" s="2"/>
      <c r="C99" s="23" t="s">
        <v>93</v>
      </c>
      <c r="D99" s="8">
        <v>105533.3</v>
      </c>
      <c r="E99" s="8">
        <v>115998.66</v>
      </c>
      <c r="F99" s="8">
        <v>283582.13</v>
      </c>
      <c r="G99" s="8">
        <v>0</v>
      </c>
      <c r="H99" s="9"/>
      <c r="I99" s="9"/>
      <c r="J99" s="9"/>
      <c r="K99" s="9"/>
      <c r="L99" s="9"/>
      <c r="M99" s="9"/>
      <c r="N99" s="9"/>
      <c r="O99" s="9"/>
    </row>
    <row r="100" spans="1:15" x14ac:dyDescent="0.35">
      <c r="A100" s="2"/>
      <c r="B100" s="2"/>
      <c r="C100" s="23" t="s">
        <v>95</v>
      </c>
      <c r="D100" s="8">
        <v>75628</v>
      </c>
      <c r="E100" s="8">
        <v>1282.5</v>
      </c>
      <c r="F100" s="8">
        <v>69388</v>
      </c>
      <c r="G100" s="8">
        <v>15640</v>
      </c>
      <c r="H100" s="9"/>
      <c r="I100" s="9"/>
      <c r="J100" s="9"/>
      <c r="K100" s="9"/>
      <c r="L100" s="9"/>
      <c r="M100" s="9"/>
      <c r="N100" s="9"/>
      <c r="O100" s="9"/>
    </row>
    <row r="101" spans="1:15" x14ac:dyDescent="0.35">
      <c r="A101" s="2"/>
      <c r="B101" s="2"/>
      <c r="C101" s="23" t="s">
        <v>96</v>
      </c>
      <c r="D101" s="8">
        <v>0</v>
      </c>
      <c r="E101" s="8">
        <v>0</v>
      </c>
      <c r="F101" s="8">
        <v>850</v>
      </c>
      <c r="G101" s="8">
        <v>0</v>
      </c>
      <c r="H101" s="9"/>
      <c r="I101" s="9"/>
      <c r="J101" s="9"/>
      <c r="K101" s="9"/>
      <c r="L101" s="9"/>
      <c r="M101" s="9"/>
      <c r="N101" s="9"/>
      <c r="O101" s="9"/>
    </row>
    <row r="102" spans="1:15" x14ac:dyDescent="0.35">
      <c r="A102" s="2"/>
      <c r="B102" s="2"/>
      <c r="C102" s="23" t="s">
        <v>97</v>
      </c>
      <c r="D102" s="8">
        <v>477000</v>
      </c>
      <c r="E102" s="8">
        <v>693750</v>
      </c>
      <c r="F102" s="8">
        <v>388230</v>
      </c>
      <c r="G102" s="8">
        <v>28000</v>
      </c>
      <c r="H102" s="9"/>
      <c r="I102" s="9"/>
      <c r="J102" s="9"/>
      <c r="K102" s="9"/>
      <c r="L102" s="9"/>
      <c r="M102" s="9"/>
      <c r="N102" s="9"/>
      <c r="O102" s="9"/>
    </row>
    <row r="103" spans="1:15" x14ac:dyDescent="0.35">
      <c r="A103" s="2"/>
      <c r="B103" s="2"/>
      <c r="C103" s="23" t="s">
        <v>98</v>
      </c>
      <c r="D103" s="8">
        <v>306177.09999999998</v>
      </c>
      <c r="E103" s="8">
        <v>301717.64</v>
      </c>
      <c r="F103" s="8">
        <v>246729.04</v>
      </c>
      <c r="G103" s="8">
        <v>6500</v>
      </c>
      <c r="H103" s="9"/>
      <c r="I103" s="9"/>
      <c r="J103" s="9"/>
      <c r="K103" s="9"/>
      <c r="L103" s="9"/>
      <c r="M103" s="9"/>
      <c r="N103" s="9"/>
      <c r="O103" s="9"/>
    </row>
    <row r="104" spans="1:15" x14ac:dyDescent="0.35">
      <c r="A104" s="2"/>
      <c r="B104" s="2"/>
      <c r="C104" s="23" t="s">
        <v>100</v>
      </c>
      <c r="D104" s="8">
        <v>61647.68</v>
      </c>
      <c r="E104" s="8">
        <v>0</v>
      </c>
      <c r="F104" s="8">
        <v>22175.93</v>
      </c>
      <c r="G104" s="8">
        <v>5969.33</v>
      </c>
      <c r="H104" s="9"/>
      <c r="I104" s="9"/>
      <c r="J104" s="9"/>
      <c r="K104" s="9"/>
      <c r="L104" s="9"/>
      <c r="M104" s="9"/>
      <c r="N104" s="9"/>
      <c r="O104" s="9"/>
    </row>
    <row r="105" spans="1:15" x14ac:dyDescent="0.35">
      <c r="A105" s="2"/>
      <c r="B105" s="2"/>
      <c r="C105" s="23" t="s">
        <v>101</v>
      </c>
      <c r="D105" s="8">
        <v>83751.8</v>
      </c>
      <c r="E105" s="8">
        <v>74497.66</v>
      </c>
      <c r="F105" s="8">
        <v>0</v>
      </c>
      <c r="G105" s="8">
        <v>0</v>
      </c>
      <c r="H105" s="9"/>
      <c r="I105" s="9"/>
      <c r="J105" s="9"/>
      <c r="K105" s="9"/>
      <c r="L105" s="9"/>
      <c r="M105" s="9"/>
      <c r="N105" s="9"/>
      <c r="O105" s="9"/>
    </row>
    <row r="106" spans="1:15" x14ac:dyDescent="0.35">
      <c r="A106" s="2"/>
      <c r="B106" s="2"/>
      <c r="C106" s="23" t="s">
        <v>103</v>
      </c>
      <c r="D106" s="8">
        <v>133961.79999999999</v>
      </c>
      <c r="E106" s="8">
        <v>125004.71</v>
      </c>
      <c r="F106" s="8">
        <v>95757.88</v>
      </c>
      <c r="G106" s="8">
        <v>35340.15</v>
      </c>
      <c r="H106" s="9"/>
      <c r="I106" s="9"/>
      <c r="J106" s="9"/>
      <c r="K106" s="9"/>
      <c r="L106" s="9"/>
      <c r="M106" s="9"/>
      <c r="N106" s="9"/>
      <c r="O106" s="9"/>
    </row>
    <row r="107" spans="1:15" x14ac:dyDescent="0.35">
      <c r="A107" s="2"/>
      <c r="B107" s="2"/>
      <c r="C107" s="23" t="s">
        <v>104</v>
      </c>
      <c r="D107" s="8">
        <v>0</v>
      </c>
      <c r="E107" s="8">
        <v>0</v>
      </c>
      <c r="F107" s="8">
        <v>950000</v>
      </c>
      <c r="G107" s="8">
        <v>-500000</v>
      </c>
      <c r="H107" s="9"/>
      <c r="I107" s="9"/>
      <c r="J107" s="9"/>
      <c r="K107" s="9"/>
      <c r="L107" s="9"/>
      <c r="M107" s="9"/>
      <c r="N107" s="9"/>
      <c r="O107" s="9"/>
    </row>
    <row r="108" spans="1:15" x14ac:dyDescent="0.35">
      <c r="A108" s="2"/>
      <c r="B108" s="2"/>
      <c r="C108" s="23" t="s">
        <v>105</v>
      </c>
      <c r="D108" s="8">
        <v>15712</v>
      </c>
      <c r="E108" s="8">
        <v>0</v>
      </c>
      <c r="F108" s="8">
        <v>28720</v>
      </c>
      <c r="G108" s="8">
        <v>24345</v>
      </c>
      <c r="H108" s="9"/>
      <c r="I108" s="9"/>
      <c r="J108" s="9"/>
      <c r="K108" s="9"/>
      <c r="L108" s="9"/>
      <c r="M108" s="9"/>
      <c r="N108" s="9"/>
      <c r="O108" s="9"/>
    </row>
    <row r="109" spans="1:15" x14ac:dyDescent="0.35">
      <c r="A109" s="2"/>
      <c r="B109" s="2"/>
      <c r="C109" s="23" t="s">
        <v>106</v>
      </c>
      <c r="D109" s="8">
        <v>26587</v>
      </c>
      <c r="E109" s="8">
        <v>466196</v>
      </c>
      <c r="F109" s="8">
        <v>53465.57</v>
      </c>
      <c r="G109" s="8">
        <v>28467.17</v>
      </c>
      <c r="H109" s="9"/>
      <c r="I109" s="9"/>
      <c r="J109" s="9"/>
      <c r="K109" s="9"/>
      <c r="L109" s="9"/>
      <c r="M109" s="9"/>
      <c r="N109" s="9"/>
      <c r="O109" s="9"/>
    </row>
    <row r="110" spans="1:15" x14ac:dyDescent="0.35">
      <c r="A110" s="2"/>
      <c r="B110" s="2"/>
      <c r="C110" s="23" t="s">
        <v>107</v>
      </c>
      <c r="D110" s="8">
        <v>227526.54</v>
      </c>
      <c r="E110" s="8">
        <v>86029.92</v>
      </c>
      <c r="F110" s="8">
        <v>40019.25</v>
      </c>
      <c r="G110" s="8">
        <v>63445.46</v>
      </c>
      <c r="H110" s="9"/>
      <c r="I110" s="9"/>
      <c r="J110" s="9"/>
      <c r="K110" s="9"/>
      <c r="L110" s="9"/>
      <c r="M110" s="9"/>
      <c r="N110" s="9"/>
      <c r="O110" s="9"/>
    </row>
    <row r="111" spans="1:15" x14ac:dyDescent="0.35">
      <c r="A111" s="2"/>
      <c r="B111" s="2"/>
      <c r="C111" s="23" t="s">
        <v>108</v>
      </c>
      <c r="D111" s="8">
        <v>14242</v>
      </c>
      <c r="E111" s="8">
        <v>3841.5</v>
      </c>
      <c r="F111" s="8">
        <v>5970</v>
      </c>
      <c r="G111" s="8">
        <v>300</v>
      </c>
      <c r="H111" s="9"/>
      <c r="I111" s="9"/>
      <c r="J111" s="9"/>
      <c r="K111" s="9"/>
      <c r="L111" s="9"/>
      <c r="M111" s="9"/>
      <c r="N111" s="9"/>
      <c r="O111" s="9"/>
    </row>
    <row r="112" spans="1:15" x14ac:dyDescent="0.35">
      <c r="A112" s="2"/>
      <c r="B112" s="2"/>
      <c r="C112" s="23" t="s">
        <v>110</v>
      </c>
      <c r="D112" s="8">
        <v>900503.63</v>
      </c>
      <c r="E112" s="8">
        <v>250886.77</v>
      </c>
      <c r="F112" s="8">
        <v>630656.88</v>
      </c>
      <c r="G112" s="8">
        <v>2475</v>
      </c>
      <c r="H112" s="9"/>
      <c r="I112" s="9"/>
      <c r="J112" s="9"/>
      <c r="K112" s="9"/>
      <c r="L112" s="9"/>
      <c r="M112" s="9"/>
      <c r="N112" s="9"/>
      <c r="O112" s="9"/>
    </row>
    <row r="113" spans="1:16" x14ac:dyDescent="0.35">
      <c r="A113" s="2"/>
      <c r="B113" s="2"/>
      <c r="C113" s="23" t="s">
        <v>111</v>
      </c>
      <c r="D113" s="8">
        <v>3330.18</v>
      </c>
      <c r="E113" s="8">
        <v>0</v>
      </c>
      <c r="F113" s="8">
        <v>1060.8</v>
      </c>
      <c r="G113" s="8">
        <v>10705.04</v>
      </c>
      <c r="H113" s="9"/>
      <c r="I113" s="9"/>
      <c r="J113" s="9"/>
      <c r="K113" s="9"/>
      <c r="L113" s="9"/>
      <c r="M113" s="9"/>
      <c r="N113" s="9"/>
      <c r="O113" s="9"/>
    </row>
    <row r="114" spans="1:16" x14ac:dyDescent="0.35">
      <c r="A114" s="2"/>
      <c r="B114" s="2"/>
      <c r="C114" s="23" t="s">
        <v>112</v>
      </c>
      <c r="D114" s="8">
        <v>134128</v>
      </c>
      <c r="E114" s="8">
        <v>141602</v>
      </c>
      <c r="F114" s="8">
        <v>172912</v>
      </c>
      <c r="G114" s="8">
        <v>196445</v>
      </c>
      <c r="H114" s="9"/>
      <c r="I114" s="9"/>
      <c r="J114" s="9"/>
      <c r="K114" s="9"/>
      <c r="L114" s="9"/>
      <c r="M114" s="9"/>
      <c r="N114" s="9"/>
      <c r="O114" s="9"/>
    </row>
    <row r="115" spans="1:16" x14ac:dyDescent="0.35">
      <c r="A115" s="2"/>
      <c r="B115" s="2"/>
      <c r="C115" s="23" t="s">
        <v>114</v>
      </c>
      <c r="D115" s="8">
        <v>31150</v>
      </c>
      <c r="E115" s="8">
        <v>0</v>
      </c>
      <c r="F115" s="8">
        <v>25560</v>
      </c>
      <c r="G115" s="8">
        <v>0</v>
      </c>
      <c r="H115" s="9"/>
      <c r="I115" s="9"/>
      <c r="J115" s="9"/>
      <c r="K115" s="9"/>
      <c r="L115" s="9"/>
      <c r="M115" s="9"/>
      <c r="N115" s="9"/>
      <c r="O115" s="9"/>
    </row>
    <row r="116" spans="1:16" x14ac:dyDescent="0.35">
      <c r="A116" s="2"/>
      <c r="B116" s="2"/>
      <c r="C116" s="23" t="s">
        <v>117</v>
      </c>
      <c r="D116" s="8">
        <v>854563.11</v>
      </c>
      <c r="E116" s="8">
        <v>196715.88</v>
      </c>
      <c r="F116" s="8">
        <v>396454.88</v>
      </c>
      <c r="G116" s="8">
        <v>846.59</v>
      </c>
      <c r="H116" s="9"/>
      <c r="I116" s="9"/>
      <c r="J116" s="9"/>
      <c r="K116" s="9"/>
      <c r="L116" s="9"/>
      <c r="M116" s="9"/>
      <c r="N116" s="9"/>
      <c r="O116" s="9"/>
    </row>
    <row r="117" spans="1:16" x14ac:dyDescent="0.35">
      <c r="A117" s="2"/>
      <c r="B117" s="2"/>
      <c r="C117" s="23" t="s">
        <v>119</v>
      </c>
      <c r="D117" s="8">
        <v>1848488.82</v>
      </c>
      <c r="E117" s="8">
        <v>283635.98</v>
      </c>
      <c r="F117" s="8">
        <v>1056874.92</v>
      </c>
      <c r="G117" s="8">
        <v>481120.67</v>
      </c>
      <c r="H117" s="9"/>
      <c r="I117" s="9"/>
      <c r="J117" s="9"/>
      <c r="K117" s="9"/>
      <c r="L117" s="9"/>
      <c r="M117" s="9"/>
      <c r="N117" s="9"/>
      <c r="O117" s="9"/>
    </row>
    <row r="118" spans="1:16" x14ac:dyDescent="0.35">
      <c r="A118" s="2"/>
      <c r="B118" s="2"/>
      <c r="C118" s="23" t="s">
        <v>120</v>
      </c>
      <c r="D118" s="8">
        <v>0</v>
      </c>
      <c r="E118" s="8">
        <v>0</v>
      </c>
      <c r="F118" s="8">
        <v>-300000</v>
      </c>
      <c r="G118" s="8">
        <v>-700000</v>
      </c>
      <c r="H118" s="9"/>
      <c r="I118" s="9"/>
      <c r="J118" s="9"/>
      <c r="K118" s="9"/>
      <c r="L118" s="9"/>
      <c r="M118" s="9"/>
      <c r="N118" s="9"/>
      <c r="O118" s="9"/>
    </row>
    <row r="119" spans="1:16" x14ac:dyDescent="0.35">
      <c r="A119" s="2"/>
      <c r="B119" s="2"/>
      <c r="C119" s="23" t="s">
        <v>123</v>
      </c>
      <c r="D119" s="8">
        <v>53818.8</v>
      </c>
      <c r="E119" s="8">
        <v>42952.800000000003</v>
      </c>
      <c r="F119" s="8">
        <v>43678.400000000001</v>
      </c>
      <c r="G119" s="8">
        <v>84330.8</v>
      </c>
      <c r="H119" s="9"/>
      <c r="I119" s="9"/>
      <c r="J119" s="9"/>
      <c r="K119" s="9"/>
      <c r="L119" s="9"/>
      <c r="M119" s="9"/>
      <c r="N119" s="9"/>
      <c r="O119" s="9"/>
    </row>
    <row r="120" spans="1:16" x14ac:dyDescent="0.35">
      <c r="A120" s="2"/>
      <c r="B120" s="2"/>
      <c r="C120" s="23" t="s">
        <v>124</v>
      </c>
      <c r="D120" s="8">
        <v>0</v>
      </c>
      <c r="E120" s="8">
        <v>0</v>
      </c>
      <c r="F120" s="8">
        <v>0</v>
      </c>
      <c r="G120" s="8">
        <v>-1500000</v>
      </c>
      <c r="H120" s="9"/>
      <c r="I120" s="9"/>
      <c r="J120" s="9"/>
      <c r="K120" s="9"/>
      <c r="L120" s="9"/>
      <c r="M120" s="9"/>
      <c r="N120" s="9"/>
      <c r="O120" s="9"/>
      <c r="P120">
        <v>-1</v>
      </c>
    </row>
    <row r="121" spans="1:16" x14ac:dyDescent="0.35">
      <c r="A121" s="2"/>
      <c r="B121" s="2"/>
      <c r="C121" s="23" t="s">
        <v>125</v>
      </c>
      <c r="D121" s="8">
        <v>1541278.2</v>
      </c>
      <c r="E121" s="8">
        <v>1492666.2</v>
      </c>
      <c r="F121" s="8">
        <v>1452932.6</v>
      </c>
      <c r="G121" s="8">
        <v>1685143.2</v>
      </c>
      <c r="H121" s="9"/>
      <c r="I121" s="9"/>
      <c r="J121" s="9"/>
      <c r="K121" s="9"/>
      <c r="L121" s="9"/>
      <c r="M121" s="9"/>
      <c r="N121" s="9"/>
      <c r="O121" s="9"/>
    </row>
    <row r="122" spans="1:16" x14ac:dyDescent="0.35">
      <c r="A122" s="2"/>
      <c r="B122" s="2"/>
      <c r="C122" s="23" t="s">
        <v>126</v>
      </c>
      <c r="D122" s="8">
        <v>0</v>
      </c>
      <c r="E122" s="8">
        <v>18999.78</v>
      </c>
      <c r="F122" s="8">
        <v>0</v>
      </c>
      <c r="G122" s="8">
        <v>18303.3</v>
      </c>
      <c r="H122" s="9"/>
      <c r="I122" s="9"/>
      <c r="J122" s="9"/>
      <c r="K122" s="9"/>
      <c r="L122" s="9"/>
      <c r="M122" s="9"/>
      <c r="N122" s="9"/>
      <c r="O122" s="9"/>
    </row>
    <row r="123" spans="1:16" x14ac:dyDescent="0.35">
      <c r="A123" s="2"/>
      <c r="B123" s="2"/>
      <c r="C123" s="23" t="s">
        <v>127</v>
      </c>
      <c r="D123" s="8">
        <v>10820</v>
      </c>
      <c r="E123" s="8">
        <v>0</v>
      </c>
      <c r="F123" s="8">
        <v>3800</v>
      </c>
      <c r="G123" s="8">
        <v>0</v>
      </c>
      <c r="H123" s="9"/>
      <c r="I123" s="9"/>
      <c r="J123" s="9"/>
      <c r="K123" s="9"/>
      <c r="L123" s="9"/>
      <c r="M123" s="9"/>
      <c r="N123" s="9"/>
      <c r="O123" s="9"/>
    </row>
    <row r="124" spans="1:16" x14ac:dyDescent="0.35">
      <c r="A124" s="2"/>
      <c r="B124" s="2"/>
      <c r="C124" s="23" t="s">
        <v>128</v>
      </c>
      <c r="D124" s="8">
        <v>986457.52</v>
      </c>
      <c r="E124" s="8">
        <v>504860.34</v>
      </c>
      <c r="F124" s="8">
        <v>2695379.73</v>
      </c>
      <c r="G124" s="8">
        <v>35359.99</v>
      </c>
      <c r="H124" s="9"/>
      <c r="I124" s="9"/>
      <c r="J124" s="9"/>
      <c r="K124" s="9"/>
      <c r="L124" s="9"/>
      <c r="M124" s="9"/>
      <c r="N124" s="9"/>
      <c r="O124" s="9"/>
    </row>
    <row r="125" spans="1:16" x14ac:dyDescent="0.35">
      <c r="A125" s="2"/>
      <c r="B125" s="2"/>
      <c r="C125" s="23" t="s">
        <v>129</v>
      </c>
      <c r="D125" s="8">
        <v>-50850</v>
      </c>
      <c r="E125" s="8">
        <v>-335811</v>
      </c>
      <c r="F125" s="8">
        <v>-3615.48</v>
      </c>
      <c r="G125" s="8">
        <v>0</v>
      </c>
      <c r="H125" s="9"/>
      <c r="I125" s="9"/>
      <c r="J125" s="9"/>
      <c r="K125" s="9"/>
      <c r="L125" s="9"/>
      <c r="M125" s="9"/>
      <c r="N125" s="9"/>
      <c r="O125" s="9"/>
    </row>
    <row r="126" spans="1:16" x14ac:dyDescent="0.35">
      <c r="A126" s="2"/>
      <c r="B126" s="2"/>
      <c r="C126" s="23" t="s">
        <v>130</v>
      </c>
      <c r="D126" s="8">
        <v>163134.09</v>
      </c>
      <c r="E126" s="8">
        <v>267571.15000000002</v>
      </c>
      <c r="F126" s="8">
        <v>102245</v>
      </c>
      <c r="G126" s="8">
        <v>47770</v>
      </c>
      <c r="H126" s="9"/>
      <c r="I126" s="9"/>
      <c r="J126" s="9"/>
      <c r="K126" s="9"/>
      <c r="L126" s="9"/>
      <c r="M126" s="9"/>
      <c r="N126" s="9"/>
      <c r="O126" s="9"/>
    </row>
    <row r="127" spans="1:16" x14ac:dyDescent="0.35">
      <c r="A127" s="2"/>
      <c r="B127" s="2"/>
      <c r="C127" s="27" t="s">
        <v>131</v>
      </c>
      <c r="D127" s="8">
        <v>250028.46</v>
      </c>
      <c r="E127" s="8">
        <v>71240</v>
      </c>
      <c r="F127" s="8">
        <v>116445.16</v>
      </c>
      <c r="G127" s="8">
        <v>7400</v>
      </c>
      <c r="H127" s="9"/>
      <c r="I127" s="9"/>
      <c r="J127" s="9"/>
      <c r="K127" s="9"/>
      <c r="L127" s="9"/>
      <c r="M127" s="9"/>
      <c r="N127" s="9"/>
      <c r="O127" s="9"/>
    </row>
    <row r="128" spans="1:16" x14ac:dyDescent="0.35">
      <c r="A128" s="2"/>
      <c r="B128" s="2"/>
      <c r="C128" s="52" t="s">
        <v>278</v>
      </c>
      <c r="D128" s="8">
        <v>0</v>
      </c>
      <c r="E128" s="8">
        <v>0</v>
      </c>
      <c r="F128" s="8">
        <v>0</v>
      </c>
      <c r="G128" s="8">
        <v>20251143</v>
      </c>
      <c r="H128" s="9"/>
      <c r="I128" s="9"/>
      <c r="J128" s="9"/>
      <c r="K128" s="9"/>
      <c r="L128" s="9"/>
      <c r="M128" s="9"/>
      <c r="N128" s="9"/>
      <c r="O128" s="9"/>
    </row>
    <row r="129" spans="1:17" x14ac:dyDescent="0.35">
      <c r="A129" s="2"/>
      <c r="B129" s="2"/>
      <c r="C129" s="23" t="s">
        <v>279</v>
      </c>
      <c r="D129" s="8">
        <v>582500</v>
      </c>
      <c r="E129" s="8">
        <v>650000</v>
      </c>
      <c r="F129" s="8">
        <v>0</v>
      </c>
      <c r="G129" s="8">
        <v>523896</v>
      </c>
      <c r="H129" s="9"/>
      <c r="I129" s="9"/>
      <c r="J129" s="9"/>
      <c r="K129" s="9"/>
      <c r="L129" s="9"/>
      <c r="M129" s="9"/>
      <c r="N129" s="9"/>
      <c r="O129" s="9"/>
    </row>
    <row r="130" spans="1:17" x14ac:dyDescent="0.35">
      <c r="A130" s="2"/>
      <c r="B130" s="2"/>
      <c r="C130" s="23" t="s">
        <v>281</v>
      </c>
      <c r="D130" s="8">
        <v>0</v>
      </c>
      <c r="E130" s="8">
        <v>58000</v>
      </c>
      <c r="F130" s="8">
        <v>0</v>
      </c>
      <c r="G130" s="8">
        <v>0</v>
      </c>
      <c r="H130" s="9"/>
      <c r="I130" s="9"/>
      <c r="J130" s="9"/>
      <c r="K130" s="9"/>
      <c r="L130" s="9"/>
      <c r="M130" s="9"/>
      <c r="N130" s="9"/>
      <c r="O130" s="9"/>
    </row>
    <row r="131" spans="1:17" x14ac:dyDescent="0.35">
      <c r="A131" s="2"/>
      <c r="B131" s="2"/>
      <c r="C131" s="23" t="s">
        <v>287</v>
      </c>
      <c r="D131" s="8">
        <v>0</v>
      </c>
      <c r="E131" s="8">
        <v>0</v>
      </c>
      <c r="F131" s="8">
        <v>30525</v>
      </c>
      <c r="G131" s="8">
        <v>0</v>
      </c>
      <c r="H131" s="9"/>
      <c r="I131" s="9"/>
      <c r="J131" s="9"/>
      <c r="K131" s="9"/>
      <c r="L131" s="9"/>
      <c r="M131" s="9"/>
      <c r="N131" s="9"/>
      <c r="O131" s="9"/>
    </row>
    <row r="132" spans="1:17" x14ac:dyDescent="0.35">
      <c r="A132" s="2"/>
      <c r="B132" s="2"/>
      <c r="C132" s="23" t="s">
        <v>288</v>
      </c>
      <c r="D132" s="8">
        <v>-135480</v>
      </c>
      <c r="E132" s="8">
        <v>-28945.81</v>
      </c>
      <c r="F132" s="8">
        <v>-18404.259999999998</v>
      </c>
      <c r="G132" s="8">
        <v>-22428.46</v>
      </c>
      <c r="H132" s="9"/>
      <c r="I132" s="9"/>
      <c r="J132" s="9"/>
      <c r="K132" s="9"/>
      <c r="L132" s="9"/>
      <c r="M132" s="9"/>
      <c r="N132" s="9"/>
      <c r="O132" s="9"/>
      <c r="Q132">
        <v>1</v>
      </c>
    </row>
    <row r="133" spans="1:17" x14ac:dyDescent="0.35">
      <c r="A133" s="2"/>
      <c r="B133" s="2"/>
      <c r="C133" s="23" t="s">
        <v>294</v>
      </c>
      <c r="D133" s="8">
        <v>32579.97</v>
      </c>
      <c r="E133" s="8">
        <v>35210.769999999997</v>
      </c>
      <c r="F133" s="8">
        <v>33614.65</v>
      </c>
      <c r="G133" s="8">
        <v>23490.6</v>
      </c>
      <c r="H133" s="9"/>
      <c r="I133" s="9"/>
      <c r="J133" s="9"/>
      <c r="K133" s="9"/>
      <c r="L133" s="9"/>
      <c r="M133" s="9"/>
      <c r="N133" s="9"/>
      <c r="O133" s="9"/>
    </row>
    <row r="134" spans="1:17" x14ac:dyDescent="0.35">
      <c r="A134" s="2"/>
      <c r="B134" s="2"/>
      <c r="C134" s="23" t="s">
        <v>296</v>
      </c>
      <c r="D134" s="8">
        <v>2783878.6</v>
      </c>
      <c r="E134" s="8">
        <v>707055.7</v>
      </c>
      <c r="F134" s="8">
        <v>1742021.6</v>
      </c>
      <c r="G134" s="8">
        <v>1532065.9</v>
      </c>
      <c r="H134" s="9"/>
      <c r="I134" s="9"/>
      <c r="J134" s="9"/>
      <c r="K134" s="9"/>
      <c r="L134" s="9"/>
      <c r="M134" s="9"/>
      <c r="N134" s="9"/>
      <c r="O134" s="9"/>
    </row>
    <row r="135" spans="1:17" x14ac:dyDescent="0.35">
      <c r="A135" s="2"/>
      <c r="B135" s="2"/>
      <c r="C135" s="23" t="s">
        <v>297</v>
      </c>
      <c r="D135" s="8">
        <v>4184673.77</v>
      </c>
      <c r="E135" s="8">
        <v>3531672.67</v>
      </c>
      <c r="F135" s="8">
        <v>3051980.76</v>
      </c>
      <c r="G135" s="8">
        <v>3717512.86</v>
      </c>
      <c r="H135" s="9"/>
      <c r="I135" s="9"/>
      <c r="J135" s="9"/>
      <c r="K135" s="9"/>
      <c r="L135" s="9"/>
      <c r="M135" s="9"/>
      <c r="N135" s="9"/>
      <c r="O135" s="9"/>
    </row>
    <row r="136" spans="1:17" x14ac:dyDescent="0.35">
      <c r="A136" s="2"/>
      <c r="B136" s="2"/>
      <c r="C136" s="23" t="s">
        <v>301</v>
      </c>
      <c r="D136" s="8">
        <v>28761128.649999999</v>
      </c>
      <c r="E136" s="8">
        <v>5315683.4000000004</v>
      </c>
      <c r="F136" s="8">
        <v>21451564.34</v>
      </c>
      <c r="G136" s="8">
        <v>20301429.43</v>
      </c>
      <c r="H136" s="9"/>
      <c r="I136" s="9"/>
      <c r="J136" s="9"/>
      <c r="K136" s="9"/>
      <c r="L136" s="9"/>
      <c r="M136" s="9"/>
      <c r="N136" s="9"/>
      <c r="O136" s="9"/>
    </row>
    <row r="137" spans="1:17" x14ac:dyDescent="0.35">
      <c r="A137" s="2"/>
      <c r="B137" s="2"/>
      <c r="C137" s="23" t="s">
        <v>302</v>
      </c>
      <c r="D137" s="8"/>
      <c r="E137" s="8"/>
      <c r="F137" s="8">
        <v>-4040649</v>
      </c>
      <c r="G137" s="8"/>
      <c r="H137" s="9"/>
      <c r="I137" s="9"/>
      <c r="J137" s="9"/>
      <c r="K137" s="9"/>
      <c r="L137" s="9"/>
      <c r="M137" s="9"/>
      <c r="N137" s="9"/>
      <c r="O137" s="9"/>
    </row>
    <row r="138" spans="1:17" x14ac:dyDescent="0.35">
      <c r="A138" s="2"/>
      <c r="B138" s="2"/>
      <c r="C138" s="23" t="s">
        <v>303</v>
      </c>
      <c r="D138" s="8">
        <v>2277438.5299999998</v>
      </c>
      <c r="E138" s="8">
        <v>1683940.49</v>
      </c>
      <c r="F138" s="8">
        <v>2029065.56</v>
      </c>
      <c r="G138" s="8">
        <v>2183351.06</v>
      </c>
      <c r="H138" s="9"/>
      <c r="I138" s="9"/>
      <c r="J138" s="9"/>
      <c r="K138" s="9"/>
      <c r="L138" s="9"/>
      <c r="M138" s="9"/>
      <c r="N138" s="9"/>
      <c r="O138" s="9"/>
    </row>
    <row r="139" spans="1:17" x14ac:dyDescent="0.35">
      <c r="A139" s="2"/>
      <c r="B139" s="2"/>
      <c r="C139" s="23" t="s">
        <v>307</v>
      </c>
      <c r="D139" s="8">
        <v>85477</v>
      </c>
      <c r="E139" s="8">
        <v>215532.4</v>
      </c>
      <c r="F139" s="8">
        <v>104190</v>
      </c>
      <c r="G139" s="8">
        <v>202250</v>
      </c>
      <c r="H139" s="9"/>
      <c r="I139" s="9"/>
      <c r="J139" s="9"/>
      <c r="K139" s="9"/>
      <c r="L139" s="9"/>
      <c r="M139" s="9"/>
      <c r="N139" s="9"/>
      <c r="O139" s="9"/>
    </row>
    <row r="140" spans="1:17" x14ac:dyDescent="0.35">
      <c r="A140" s="2"/>
      <c r="B140" s="2"/>
      <c r="C140" s="23" t="s">
        <v>308</v>
      </c>
      <c r="D140" s="8">
        <v>47127588.079999998</v>
      </c>
      <c r="E140" s="8">
        <v>40779501.770000003</v>
      </c>
      <c r="F140" s="8">
        <v>40935732.729999997</v>
      </c>
      <c r="G140" s="8">
        <v>51155132.789999999</v>
      </c>
      <c r="H140" s="9"/>
      <c r="I140" s="9"/>
      <c r="J140" s="9"/>
      <c r="K140" s="9"/>
      <c r="L140" s="9"/>
      <c r="M140" s="9"/>
      <c r="N140" s="9"/>
      <c r="O140" s="9"/>
    </row>
    <row r="141" spans="1:17" x14ac:dyDescent="0.35">
      <c r="A141" s="2"/>
      <c r="B141" s="2"/>
      <c r="C141" s="23" t="s">
        <v>309</v>
      </c>
      <c r="D141" s="8">
        <v>6686671.3200000003</v>
      </c>
      <c r="E141" s="8">
        <v>6498465.0599999996</v>
      </c>
      <c r="F141" s="8">
        <v>5728588.5199999996</v>
      </c>
      <c r="G141" s="8">
        <v>6921090.21</v>
      </c>
      <c r="H141" s="9"/>
      <c r="I141" s="9"/>
      <c r="J141" s="9"/>
      <c r="K141" s="9"/>
      <c r="L141" s="9"/>
      <c r="M141" s="9"/>
      <c r="N141" s="9"/>
      <c r="O141" s="9"/>
    </row>
    <row r="142" spans="1:17" x14ac:dyDescent="0.35">
      <c r="A142" s="2"/>
      <c r="B142" s="2"/>
      <c r="C142" s="23" t="s">
        <v>310</v>
      </c>
      <c r="D142" s="8">
        <v>38950</v>
      </c>
      <c r="E142" s="8">
        <v>40400</v>
      </c>
      <c r="F142" s="8">
        <v>38400</v>
      </c>
      <c r="G142" s="8">
        <v>38400</v>
      </c>
      <c r="H142" s="9"/>
      <c r="I142" s="9"/>
      <c r="J142" s="9"/>
      <c r="K142" s="9"/>
      <c r="L142" s="9"/>
      <c r="M142" s="9"/>
      <c r="N142" s="9"/>
      <c r="O142" s="9"/>
    </row>
    <row r="143" spans="1:17" x14ac:dyDescent="0.35">
      <c r="A143" s="2"/>
      <c r="B143" s="2"/>
      <c r="C143" s="23" t="s">
        <v>314</v>
      </c>
      <c r="D143" s="8">
        <v>-5187406.1399999997</v>
      </c>
      <c r="E143" s="8">
        <v>-4634599.74</v>
      </c>
      <c r="F143" s="8">
        <v>-3618914.58</v>
      </c>
      <c r="G143" s="8">
        <v>-4264899.46</v>
      </c>
      <c r="H143" s="9"/>
      <c r="I143" s="9"/>
      <c r="J143" s="9"/>
      <c r="K143" s="9"/>
      <c r="L143" s="9"/>
      <c r="M143" s="9"/>
      <c r="N143" s="9"/>
      <c r="O143" s="9"/>
    </row>
    <row r="144" spans="1:17" x14ac:dyDescent="0.35">
      <c r="A144" s="2"/>
      <c r="B144" s="2"/>
      <c r="C144" s="23" t="s">
        <v>316</v>
      </c>
      <c r="D144" s="8">
        <v>-1500</v>
      </c>
      <c r="E144" s="8">
        <v>-507281.76</v>
      </c>
      <c r="F144" s="8">
        <v>-162000</v>
      </c>
      <c r="G144" s="8">
        <v>-565861</v>
      </c>
      <c r="H144" s="9"/>
      <c r="I144" s="9"/>
      <c r="J144" s="9"/>
      <c r="K144" s="9"/>
      <c r="L144" s="9"/>
      <c r="M144" s="9"/>
      <c r="N144" s="9"/>
      <c r="O144" s="9"/>
    </row>
    <row r="145" spans="1:15" x14ac:dyDescent="0.35">
      <c r="A145" s="2"/>
      <c r="B145" s="2"/>
      <c r="C145" s="23" t="s">
        <v>319</v>
      </c>
      <c r="D145" s="8">
        <v>-6000000</v>
      </c>
      <c r="E145" s="8">
        <v>9400000</v>
      </c>
      <c r="F145" s="8">
        <v>-500000</v>
      </c>
      <c r="G145" s="8">
        <v>-11800000</v>
      </c>
      <c r="H145" s="9"/>
      <c r="I145" s="9"/>
      <c r="J145" s="9"/>
      <c r="K145" s="9"/>
      <c r="L145" s="9"/>
      <c r="M145" s="9"/>
      <c r="N145" s="9"/>
      <c r="O145" s="9"/>
    </row>
    <row r="146" spans="1:15" x14ac:dyDescent="0.35">
      <c r="A146" s="2"/>
      <c r="B146" s="2"/>
      <c r="C146" s="24" t="s">
        <v>322</v>
      </c>
      <c r="D146" s="8">
        <v>17713</v>
      </c>
      <c r="E146" s="8">
        <v>0</v>
      </c>
      <c r="F146" s="8">
        <v>0</v>
      </c>
      <c r="G146" s="8">
        <v>0</v>
      </c>
      <c r="H146" s="9"/>
      <c r="I146" s="9"/>
      <c r="J146" s="9"/>
      <c r="K146" s="9"/>
      <c r="L146" s="9"/>
      <c r="M146" s="9"/>
      <c r="N146" s="9"/>
      <c r="O146" s="9"/>
    </row>
    <row r="147" spans="1:15" x14ac:dyDescent="0.35">
      <c r="A147" s="2"/>
      <c r="B147" s="2"/>
      <c r="C147" s="35" t="s">
        <v>394</v>
      </c>
      <c r="D147" s="40">
        <f>SUM(D53:D146)</f>
        <v>89710782.689999983</v>
      </c>
      <c r="E147" s="40">
        <f t="shared" ref="E147:O147" si="15">SUM(E53:E146)</f>
        <v>68673813.840000004</v>
      </c>
      <c r="F147" s="40">
        <f t="shared" si="15"/>
        <v>75508153.779999986</v>
      </c>
      <c r="G147" s="40">
        <f t="shared" si="15"/>
        <v>90464211</v>
      </c>
      <c r="H147" s="40">
        <f t="shared" si="15"/>
        <v>92499982.88000001</v>
      </c>
      <c r="I147" s="40">
        <f t="shared" si="15"/>
        <v>68944841.75000003</v>
      </c>
      <c r="J147" s="40">
        <f t="shared" si="15"/>
        <v>64811427.36999999</v>
      </c>
      <c r="K147" s="40">
        <f t="shared" si="15"/>
        <v>52129146.5</v>
      </c>
      <c r="L147" s="40">
        <f t="shared" si="15"/>
        <v>64484959.670000032</v>
      </c>
      <c r="M147" s="40">
        <f t="shared" si="15"/>
        <v>71714580.549999982</v>
      </c>
      <c r="N147" s="40">
        <f t="shared" si="15"/>
        <v>79909899.369999945</v>
      </c>
      <c r="O147" s="40">
        <f t="shared" si="15"/>
        <v>86230433.929999948</v>
      </c>
    </row>
    <row r="148" spans="1:15" x14ac:dyDescent="0.35">
      <c r="A148" s="2"/>
      <c r="B148" s="2"/>
      <c r="C148" s="2"/>
      <c r="D148" s="2"/>
      <c r="E148" s="2"/>
      <c r="F148" s="2"/>
      <c r="G148" s="2"/>
      <c r="H148" s="9"/>
      <c r="I148" s="9"/>
      <c r="J148" s="9"/>
      <c r="K148" s="9"/>
      <c r="L148" s="9"/>
      <c r="M148" s="9"/>
      <c r="N148" s="9"/>
      <c r="O148" s="9"/>
    </row>
    <row r="149" spans="1:15" x14ac:dyDescent="0.35">
      <c r="A149" s="2"/>
      <c r="B149" s="2" t="s">
        <v>512</v>
      </c>
      <c r="C149" s="34" t="s">
        <v>390</v>
      </c>
      <c r="D149" s="34"/>
      <c r="E149" s="34"/>
      <c r="F149" s="34"/>
      <c r="G149" s="34"/>
      <c r="H149" s="9">
        <v>91552.87</v>
      </c>
      <c r="I149" s="9">
        <v>260517.59999999998</v>
      </c>
      <c r="J149" s="9">
        <v>677731.52</v>
      </c>
      <c r="K149" s="9">
        <v>536491</v>
      </c>
      <c r="L149" s="9">
        <v>159675.69999999995</v>
      </c>
      <c r="M149" s="9">
        <v>365929.65000000014</v>
      </c>
      <c r="N149" s="9">
        <v>275087.38000000012</v>
      </c>
      <c r="O149" s="9">
        <v>273549.09999999963</v>
      </c>
    </row>
    <row r="150" spans="1:15" x14ac:dyDescent="0.35">
      <c r="A150" s="2"/>
      <c r="B150" s="2" t="s">
        <v>513</v>
      </c>
      <c r="C150" s="34" t="s">
        <v>391</v>
      </c>
      <c r="D150" s="34"/>
      <c r="E150" s="34"/>
      <c r="F150" s="34"/>
      <c r="G150" s="34"/>
      <c r="H150" s="9">
        <v>633068.54</v>
      </c>
      <c r="I150" s="9">
        <v>76903.209999999963</v>
      </c>
      <c r="J150" s="9">
        <v>215434.01</v>
      </c>
      <c r="K150" s="9">
        <v>0</v>
      </c>
      <c r="L150" s="9">
        <v>184192</v>
      </c>
      <c r="M150" s="9">
        <v>326015.21999999997</v>
      </c>
      <c r="N150" s="9">
        <v>17374.130000000121</v>
      </c>
      <c r="O150" s="9">
        <v>569304.49</v>
      </c>
    </row>
    <row r="151" spans="1:15" x14ac:dyDescent="0.35">
      <c r="A151" s="2"/>
      <c r="B151" s="2" t="s">
        <v>514</v>
      </c>
      <c r="C151" s="34" t="s">
        <v>392</v>
      </c>
      <c r="D151" s="34"/>
      <c r="E151" s="34"/>
      <c r="F151" s="34"/>
      <c r="G151" s="34"/>
      <c r="H151" s="9">
        <v>0</v>
      </c>
      <c r="I151" s="9">
        <v>425564</v>
      </c>
      <c r="J151" s="9">
        <v>104739</v>
      </c>
      <c r="K151" s="9">
        <v>3335</v>
      </c>
      <c r="L151" s="9">
        <v>283637</v>
      </c>
      <c r="M151" s="9">
        <v>6707</v>
      </c>
      <c r="N151" s="9">
        <v>356244</v>
      </c>
      <c r="O151" s="9">
        <v>237161</v>
      </c>
    </row>
    <row r="152" spans="1:15" x14ac:dyDescent="0.35">
      <c r="A152" s="2"/>
      <c r="B152" s="2" t="s">
        <v>515</v>
      </c>
      <c r="C152" s="34" t="s">
        <v>393</v>
      </c>
      <c r="D152" s="34"/>
      <c r="E152" s="34"/>
      <c r="F152" s="34"/>
      <c r="G152" s="34"/>
      <c r="H152" s="9">
        <v>0</v>
      </c>
      <c r="I152" s="9">
        <v>115146</v>
      </c>
      <c r="J152" s="9">
        <v>56775</v>
      </c>
      <c r="K152" s="9">
        <v>4000</v>
      </c>
      <c r="L152" s="9">
        <v>6570</v>
      </c>
      <c r="M152" s="9">
        <v>2100</v>
      </c>
      <c r="N152" s="9">
        <v>1470</v>
      </c>
      <c r="O152" s="9">
        <v>950</v>
      </c>
    </row>
    <row r="153" spans="1:15" x14ac:dyDescent="0.35">
      <c r="A153" s="2"/>
      <c r="B153" s="2"/>
      <c r="C153" s="23" t="s">
        <v>134</v>
      </c>
      <c r="D153" s="8">
        <v>17033.96</v>
      </c>
      <c r="E153" s="8">
        <v>8409.83</v>
      </c>
      <c r="F153" s="8">
        <v>34275</v>
      </c>
      <c r="G153" s="8">
        <v>0</v>
      </c>
      <c r="H153" s="9"/>
      <c r="I153" s="9"/>
      <c r="J153" s="9"/>
      <c r="K153" s="9"/>
      <c r="L153" s="9"/>
      <c r="M153" s="9"/>
      <c r="N153" s="9"/>
      <c r="O153" s="9"/>
    </row>
    <row r="154" spans="1:15" x14ac:dyDescent="0.35">
      <c r="A154" s="2"/>
      <c r="B154" s="2"/>
      <c r="C154" s="23" t="s">
        <v>135</v>
      </c>
      <c r="D154" s="8">
        <v>0</v>
      </c>
      <c r="E154" s="8">
        <v>0</v>
      </c>
      <c r="F154" s="8">
        <v>800000</v>
      </c>
      <c r="G154" s="8">
        <v>-1000000</v>
      </c>
      <c r="H154" s="9"/>
      <c r="I154" s="9"/>
      <c r="J154" s="9"/>
      <c r="K154" s="9"/>
      <c r="L154" s="9"/>
      <c r="M154" s="9"/>
      <c r="N154" s="9"/>
      <c r="O154" s="9"/>
    </row>
    <row r="155" spans="1:15" x14ac:dyDescent="0.35">
      <c r="A155" s="2"/>
      <c r="B155" s="2"/>
      <c r="C155" s="23" t="s">
        <v>136</v>
      </c>
      <c r="D155" s="8">
        <v>148234.54</v>
      </c>
      <c r="E155" s="8">
        <v>163427.6</v>
      </c>
      <c r="F155" s="8">
        <v>219104.94</v>
      </c>
      <c r="G155" s="8">
        <v>105322.25</v>
      </c>
      <c r="H155" s="9"/>
      <c r="I155" s="9"/>
      <c r="J155" s="9"/>
      <c r="K155" s="9"/>
      <c r="L155" s="9"/>
      <c r="M155" s="9"/>
      <c r="N155" s="9"/>
      <c r="O155" s="9"/>
    </row>
    <row r="156" spans="1:15" x14ac:dyDescent="0.35">
      <c r="A156" s="2"/>
      <c r="B156" s="2"/>
      <c r="C156" s="23" t="s">
        <v>137</v>
      </c>
      <c r="D156" s="8">
        <v>0</v>
      </c>
      <c r="E156" s="8">
        <v>0</v>
      </c>
      <c r="F156" s="8">
        <v>0</v>
      </c>
      <c r="G156" s="8">
        <v>4591</v>
      </c>
      <c r="H156" s="9"/>
      <c r="I156" s="9"/>
      <c r="J156" s="9"/>
      <c r="K156" s="9"/>
      <c r="L156" s="9"/>
      <c r="M156" s="9"/>
      <c r="N156" s="9"/>
      <c r="O156" s="9"/>
    </row>
    <row r="157" spans="1:15" x14ac:dyDescent="0.35">
      <c r="A157" s="2"/>
      <c r="B157" s="2"/>
      <c r="C157" s="23" t="s">
        <v>138</v>
      </c>
      <c r="D157" s="8">
        <v>188935</v>
      </c>
      <c r="E157" s="8">
        <v>175160</v>
      </c>
      <c r="F157" s="8">
        <v>57830</v>
      </c>
      <c r="G157" s="8">
        <v>85220</v>
      </c>
      <c r="H157" s="9"/>
      <c r="I157" s="9"/>
      <c r="J157" s="9"/>
      <c r="K157" s="9"/>
      <c r="L157" s="9"/>
      <c r="M157" s="9"/>
      <c r="N157" s="9"/>
      <c r="O157" s="9"/>
    </row>
    <row r="158" spans="1:15" x14ac:dyDescent="0.35">
      <c r="A158" s="2"/>
      <c r="B158" s="2"/>
      <c r="C158" s="23" t="s">
        <v>139</v>
      </c>
      <c r="D158" s="8">
        <v>10691</v>
      </c>
      <c r="E158" s="8">
        <v>1880</v>
      </c>
      <c r="F158" s="8">
        <v>9608</v>
      </c>
      <c r="G158" s="8">
        <v>2190</v>
      </c>
      <c r="H158" s="9"/>
      <c r="I158" s="9"/>
      <c r="J158" s="9"/>
      <c r="K158" s="9"/>
      <c r="L158" s="9"/>
      <c r="M158" s="9"/>
      <c r="N158" s="9"/>
      <c r="O158" s="9"/>
    </row>
    <row r="159" spans="1:15" x14ac:dyDescent="0.35">
      <c r="A159" s="2"/>
      <c r="B159" s="2"/>
      <c r="C159" s="23" t="s">
        <v>140</v>
      </c>
      <c r="D159" s="8">
        <v>14867.1</v>
      </c>
      <c r="E159" s="8">
        <v>262051.9</v>
      </c>
      <c r="F159" s="8">
        <v>114395.72</v>
      </c>
      <c r="G159" s="8">
        <v>318908.19</v>
      </c>
      <c r="H159" s="9"/>
      <c r="I159" s="9"/>
      <c r="J159" s="9"/>
      <c r="K159" s="9"/>
      <c r="L159" s="9"/>
      <c r="M159" s="9"/>
      <c r="N159" s="9"/>
      <c r="O159" s="9"/>
    </row>
    <row r="160" spans="1:15" x14ac:dyDescent="0.35">
      <c r="A160" s="2"/>
      <c r="B160" s="2"/>
      <c r="C160" s="35" t="s">
        <v>141</v>
      </c>
      <c r="D160" s="40">
        <f>SUM(D149:D159)</f>
        <v>379761.6</v>
      </c>
      <c r="E160" s="40">
        <f t="shared" ref="E160:O160" si="16">SUM(E149:E159)</f>
        <v>610929.32999999996</v>
      </c>
      <c r="F160" s="40">
        <f t="shared" si="16"/>
        <v>1235213.6599999999</v>
      </c>
      <c r="G160" s="40">
        <f t="shared" si="16"/>
        <v>-483768.56</v>
      </c>
      <c r="H160" s="40">
        <f t="shared" si="16"/>
        <v>724621.41</v>
      </c>
      <c r="I160" s="40">
        <f t="shared" si="16"/>
        <v>878130.80999999994</v>
      </c>
      <c r="J160" s="40">
        <f t="shared" si="16"/>
        <v>1054679.53</v>
      </c>
      <c r="K160" s="40">
        <f t="shared" si="16"/>
        <v>543826</v>
      </c>
      <c r="L160" s="40">
        <f t="shared" si="16"/>
        <v>634074.69999999995</v>
      </c>
      <c r="M160" s="40">
        <f t="shared" si="16"/>
        <v>700751.87000000011</v>
      </c>
      <c r="N160" s="40">
        <f t="shared" si="16"/>
        <v>650175.51000000024</v>
      </c>
      <c r="O160" s="40">
        <f t="shared" si="16"/>
        <v>1080964.5899999996</v>
      </c>
    </row>
    <row r="161" spans="1:16" x14ac:dyDescent="0.35">
      <c r="A161" s="2"/>
      <c r="B161" s="2"/>
      <c r="C161" s="2"/>
      <c r="D161" s="2"/>
      <c r="E161" s="2"/>
      <c r="F161" s="2"/>
      <c r="G161" s="2"/>
      <c r="H161" s="9"/>
      <c r="I161" s="9"/>
      <c r="J161" s="9"/>
      <c r="K161" s="9"/>
      <c r="L161" s="9"/>
      <c r="M161" s="9"/>
      <c r="N161" s="9"/>
      <c r="O161" s="9"/>
    </row>
    <row r="162" spans="1:16" x14ac:dyDescent="0.35">
      <c r="A162" s="2"/>
      <c r="B162" s="2" t="s">
        <v>516</v>
      </c>
      <c r="C162" s="34" t="s">
        <v>395</v>
      </c>
      <c r="D162" s="34"/>
      <c r="E162" s="34"/>
      <c r="F162" s="34"/>
      <c r="G162" s="34"/>
      <c r="H162" s="9">
        <v>0</v>
      </c>
      <c r="I162" s="9">
        <v>188108</v>
      </c>
      <c r="J162" s="9">
        <v>382768</v>
      </c>
      <c r="K162" s="9">
        <v>120034</v>
      </c>
      <c r="L162" s="9">
        <v>129738</v>
      </c>
      <c r="M162" s="9">
        <v>600649</v>
      </c>
      <c r="N162" s="9">
        <v>241100</v>
      </c>
      <c r="O162" s="9">
        <v>121442</v>
      </c>
    </row>
    <row r="163" spans="1:16" x14ac:dyDescent="0.35">
      <c r="A163" s="2"/>
      <c r="B163" s="2" t="s">
        <v>517</v>
      </c>
      <c r="C163" s="34" t="s">
        <v>396</v>
      </c>
      <c r="D163" s="34"/>
      <c r="E163" s="34"/>
      <c r="F163" s="34"/>
      <c r="G163" s="34"/>
      <c r="H163" s="9">
        <v>6270388.7000000002</v>
      </c>
      <c r="I163" s="9">
        <v>10806074</v>
      </c>
      <c r="J163" s="9">
        <v>6360346.4700000025</v>
      </c>
      <c r="K163" s="9">
        <v>6177668.9299999997</v>
      </c>
      <c r="L163" s="9">
        <v>6155725.1499999985</v>
      </c>
      <c r="M163" s="9">
        <v>5781472.8699999973</v>
      </c>
      <c r="N163" s="9">
        <v>6349011.6000000015</v>
      </c>
      <c r="O163" s="9">
        <v>6451937.1099999994</v>
      </c>
    </row>
    <row r="164" spans="1:16" x14ac:dyDescent="0.35">
      <c r="A164" s="2"/>
      <c r="B164" s="2" t="s">
        <v>518</v>
      </c>
      <c r="C164" s="34" t="s">
        <v>397</v>
      </c>
      <c r="D164" s="34"/>
      <c r="E164" s="34"/>
      <c r="F164" s="34"/>
      <c r="G164" s="34"/>
      <c r="H164" s="9">
        <v>6226319.7300000004</v>
      </c>
      <c r="I164" s="9">
        <v>8816734.0099999998</v>
      </c>
      <c r="J164" s="9">
        <v>9449587.540000001</v>
      </c>
      <c r="K164" s="9">
        <v>7785912.4199999981</v>
      </c>
      <c r="L164" s="9">
        <v>11086441.48</v>
      </c>
      <c r="M164" s="9">
        <v>9701173.0600000024</v>
      </c>
      <c r="N164" s="9">
        <v>10424778.530000001</v>
      </c>
      <c r="O164" s="9">
        <v>16673627.910000004</v>
      </c>
    </row>
    <row r="165" spans="1:16" x14ac:dyDescent="0.35">
      <c r="A165" s="2"/>
      <c r="B165" s="2" t="s">
        <v>519</v>
      </c>
      <c r="C165" s="34" t="s">
        <v>398</v>
      </c>
      <c r="D165" s="34"/>
      <c r="E165" s="34"/>
      <c r="F165" s="34"/>
      <c r="G165" s="34"/>
      <c r="H165" s="9">
        <v>0</v>
      </c>
      <c r="I165" s="9">
        <v>461248</v>
      </c>
      <c r="J165" s="9">
        <v>523942</v>
      </c>
      <c r="K165" s="9">
        <v>667645</v>
      </c>
      <c r="L165" s="9">
        <v>1284380</v>
      </c>
      <c r="M165" s="9">
        <v>1039551</v>
      </c>
      <c r="N165" s="9">
        <v>1231529.7400000002</v>
      </c>
      <c r="O165" s="9">
        <v>945963</v>
      </c>
    </row>
    <row r="166" spans="1:16" x14ac:dyDescent="0.35">
      <c r="A166" s="2"/>
      <c r="B166" s="2" t="s">
        <v>520</v>
      </c>
      <c r="C166" s="34" t="s">
        <v>399</v>
      </c>
      <c r="D166" s="34"/>
      <c r="E166" s="34"/>
      <c r="F166" s="34"/>
      <c r="G166" s="34"/>
      <c r="H166" s="9">
        <v>127595.1</v>
      </c>
      <c r="I166" s="9">
        <v>131283</v>
      </c>
      <c r="J166" s="9">
        <v>129441.32999999999</v>
      </c>
      <c r="K166" s="9">
        <v>126309.63</v>
      </c>
      <c r="L166" s="9">
        <v>132833.91999999998</v>
      </c>
      <c r="M166" s="9">
        <v>130416.75</v>
      </c>
      <c r="N166" s="9">
        <v>145298.59999999998</v>
      </c>
      <c r="O166" s="9">
        <v>143098.03000000014</v>
      </c>
    </row>
    <row r="167" spans="1:16" x14ac:dyDescent="0.35">
      <c r="A167" s="2"/>
      <c r="B167" s="2" t="s">
        <v>521</v>
      </c>
      <c r="C167" s="34" t="s">
        <v>400</v>
      </c>
      <c r="D167" s="34"/>
      <c r="E167" s="34"/>
      <c r="F167" s="34"/>
      <c r="G167" s="34"/>
      <c r="H167" s="9">
        <v>0</v>
      </c>
      <c r="I167" s="9">
        <v>112485</v>
      </c>
      <c r="J167" s="9">
        <v>0</v>
      </c>
      <c r="K167" s="9">
        <v>0</v>
      </c>
      <c r="L167" s="9">
        <v>0</v>
      </c>
      <c r="M167" s="9">
        <v>0</v>
      </c>
      <c r="N167" s="9">
        <v>0</v>
      </c>
      <c r="O167" s="9">
        <v>0</v>
      </c>
    </row>
    <row r="168" spans="1:16" x14ac:dyDescent="0.35">
      <c r="A168" s="2"/>
      <c r="B168" s="2"/>
      <c r="C168" s="23" t="s">
        <v>142</v>
      </c>
      <c r="D168" s="8">
        <v>294823</v>
      </c>
      <c r="E168" s="8">
        <v>384505</v>
      </c>
      <c r="F168" s="8">
        <v>391644</v>
      </c>
      <c r="G168" s="8">
        <v>599443</v>
      </c>
      <c r="H168" s="9"/>
      <c r="I168" s="9"/>
      <c r="J168" s="9"/>
      <c r="K168" s="9"/>
      <c r="L168" s="9"/>
      <c r="M168" s="9"/>
      <c r="N168" s="9"/>
      <c r="O168" s="9"/>
      <c r="P168">
        <v>-1</v>
      </c>
    </row>
    <row r="169" spans="1:16" x14ac:dyDescent="0.35">
      <c r="A169" s="2"/>
      <c r="B169" s="2"/>
      <c r="C169" s="23" t="s">
        <v>143</v>
      </c>
      <c r="D169" s="8">
        <v>33000</v>
      </c>
      <c r="E169" s="8">
        <v>30750</v>
      </c>
      <c r="F169" s="8">
        <v>17250</v>
      </c>
      <c r="G169" s="8">
        <v>22500</v>
      </c>
      <c r="H169" s="9"/>
      <c r="I169" s="9"/>
      <c r="J169" s="9"/>
      <c r="K169" s="9"/>
      <c r="L169" s="9"/>
      <c r="M169" s="9"/>
      <c r="N169" s="9"/>
      <c r="O169" s="9"/>
    </row>
    <row r="170" spans="1:16" x14ac:dyDescent="0.35">
      <c r="A170" s="2"/>
      <c r="B170" s="2"/>
      <c r="C170" s="23" t="s">
        <v>144</v>
      </c>
      <c r="D170" s="8">
        <v>110653.85</v>
      </c>
      <c r="E170" s="8">
        <v>114760</v>
      </c>
      <c r="F170" s="8">
        <v>-384459.27</v>
      </c>
      <c r="G170" s="8">
        <v>115379.29</v>
      </c>
      <c r="H170" s="9"/>
      <c r="I170" s="9"/>
      <c r="J170" s="9"/>
      <c r="K170" s="9"/>
      <c r="L170" s="9"/>
      <c r="M170" s="9"/>
      <c r="N170" s="9"/>
      <c r="O170" s="9"/>
    </row>
    <row r="171" spans="1:16" x14ac:dyDescent="0.35">
      <c r="A171" s="2"/>
      <c r="B171" s="2"/>
      <c r="C171" s="23" t="s">
        <v>146</v>
      </c>
      <c r="D171" s="8">
        <v>0</v>
      </c>
      <c r="E171" s="8">
        <v>0</v>
      </c>
      <c r="F171" s="8">
        <v>18576384</v>
      </c>
      <c r="G171" s="8">
        <v>-18576384</v>
      </c>
      <c r="H171" s="9"/>
      <c r="I171" s="9"/>
      <c r="J171" s="9"/>
      <c r="K171" s="9"/>
      <c r="L171" s="9"/>
      <c r="M171" s="9"/>
      <c r="N171" s="9"/>
      <c r="O171" s="9"/>
    </row>
    <row r="172" spans="1:16" x14ac:dyDescent="0.35">
      <c r="A172" s="2"/>
      <c r="B172" s="2"/>
      <c r="C172" s="23" t="s">
        <v>150</v>
      </c>
      <c r="D172" s="8">
        <v>42724</v>
      </c>
      <c r="E172" s="8">
        <v>43734</v>
      </c>
      <c r="F172" s="8">
        <v>45133</v>
      </c>
      <c r="G172" s="8">
        <v>2438</v>
      </c>
      <c r="H172" s="9"/>
      <c r="I172" s="9"/>
      <c r="J172" s="9"/>
      <c r="K172" s="9"/>
      <c r="L172" s="9"/>
      <c r="M172" s="9"/>
      <c r="N172" s="9"/>
      <c r="O172" s="9"/>
    </row>
    <row r="173" spans="1:16" x14ac:dyDescent="0.35">
      <c r="A173" s="2"/>
      <c r="B173" s="2"/>
      <c r="C173" s="23" t="s">
        <v>152</v>
      </c>
      <c r="D173" s="8">
        <v>0</v>
      </c>
      <c r="E173" s="8">
        <v>-6104.96</v>
      </c>
      <c r="F173" s="8">
        <v>892749.24</v>
      </c>
      <c r="G173" s="8">
        <v>0</v>
      </c>
      <c r="H173" s="9"/>
      <c r="I173" s="9"/>
      <c r="J173" s="9"/>
      <c r="K173" s="9"/>
      <c r="L173" s="9"/>
      <c r="M173" s="9"/>
      <c r="N173" s="9"/>
      <c r="O173" s="9"/>
    </row>
    <row r="174" spans="1:16" x14ac:dyDescent="0.35">
      <c r="A174" s="2"/>
      <c r="B174" s="2"/>
      <c r="C174" s="23" t="s">
        <v>154</v>
      </c>
      <c r="D174" s="8">
        <v>828716</v>
      </c>
      <c r="E174" s="8">
        <v>851718.7</v>
      </c>
      <c r="F174" s="8">
        <v>807969.31</v>
      </c>
      <c r="G174" s="8">
        <v>133150.79999999999</v>
      </c>
      <c r="H174" s="9"/>
      <c r="I174" s="9"/>
      <c r="J174" s="9"/>
      <c r="K174" s="9"/>
      <c r="L174" s="9"/>
      <c r="M174" s="9"/>
      <c r="N174" s="9"/>
      <c r="O174" s="9"/>
    </row>
    <row r="175" spans="1:16" x14ac:dyDescent="0.35">
      <c r="A175" s="2"/>
      <c r="B175" s="2"/>
      <c r="C175" s="23" t="s">
        <v>155</v>
      </c>
      <c r="D175" s="8">
        <v>10785.81</v>
      </c>
      <c r="E175" s="8">
        <v>68680.88</v>
      </c>
      <c r="F175" s="8">
        <v>1314</v>
      </c>
      <c r="G175" s="8">
        <v>343</v>
      </c>
      <c r="H175" s="9"/>
      <c r="I175" s="9"/>
      <c r="J175" s="9"/>
      <c r="K175" s="9"/>
      <c r="L175" s="9"/>
      <c r="M175" s="9"/>
      <c r="N175" s="9"/>
      <c r="O175" s="9"/>
    </row>
    <row r="176" spans="1:16" x14ac:dyDescent="0.35">
      <c r="A176" s="2"/>
      <c r="B176" s="2"/>
      <c r="C176" s="23" t="s">
        <v>157</v>
      </c>
      <c r="D176" s="8">
        <v>3632.8</v>
      </c>
      <c r="E176" s="8">
        <v>4371.2</v>
      </c>
      <c r="F176" s="8">
        <v>3740.4</v>
      </c>
      <c r="G176" s="8">
        <v>4865.2</v>
      </c>
      <c r="H176" s="9"/>
      <c r="I176" s="9"/>
      <c r="J176" s="9"/>
      <c r="K176" s="9"/>
      <c r="L176" s="9"/>
      <c r="M176" s="9"/>
      <c r="N176" s="9"/>
      <c r="O176" s="9"/>
    </row>
    <row r="177" spans="1:15" x14ac:dyDescent="0.35">
      <c r="A177" s="2"/>
      <c r="B177" s="2"/>
      <c r="C177" s="23" t="s">
        <v>158</v>
      </c>
      <c r="D177" s="8">
        <v>110324</v>
      </c>
      <c r="E177" s="8">
        <v>134142</v>
      </c>
      <c r="F177" s="8">
        <v>201116</v>
      </c>
      <c r="G177" s="8">
        <v>205106</v>
      </c>
      <c r="H177" s="9"/>
      <c r="I177" s="9"/>
      <c r="J177" s="9"/>
      <c r="K177" s="9"/>
      <c r="L177" s="9"/>
      <c r="M177" s="9"/>
      <c r="N177" s="9"/>
      <c r="O177" s="9"/>
    </row>
    <row r="178" spans="1:15" x14ac:dyDescent="0.35">
      <c r="A178" s="2"/>
      <c r="B178" s="2"/>
      <c r="C178" s="23" t="s">
        <v>159</v>
      </c>
      <c r="D178" s="8">
        <v>0</v>
      </c>
      <c r="E178" s="8">
        <v>0</v>
      </c>
      <c r="F178" s="8">
        <v>0</v>
      </c>
      <c r="G178" s="9">
        <v>-6238717</v>
      </c>
      <c r="H178" s="9"/>
      <c r="I178" s="9"/>
      <c r="J178" s="9"/>
      <c r="K178" s="9"/>
      <c r="L178" s="9"/>
      <c r="M178" s="9"/>
      <c r="N178" s="9"/>
      <c r="O178" s="9"/>
    </row>
    <row r="179" spans="1:15" x14ac:dyDescent="0.35">
      <c r="A179" s="2"/>
      <c r="B179" s="2"/>
      <c r="C179" s="23" t="s">
        <v>160</v>
      </c>
      <c r="D179" s="8">
        <v>1000000</v>
      </c>
      <c r="E179" s="8">
        <v>0</v>
      </c>
      <c r="F179" s="8">
        <v>0</v>
      </c>
      <c r="G179" s="9">
        <v>-3500000</v>
      </c>
      <c r="H179" s="9"/>
      <c r="I179" s="9"/>
      <c r="J179" s="9"/>
      <c r="K179" s="9"/>
      <c r="L179" s="9"/>
      <c r="M179" s="9"/>
      <c r="N179" s="9"/>
      <c r="O179" s="9"/>
    </row>
    <row r="180" spans="1:15" x14ac:dyDescent="0.35">
      <c r="A180" s="2"/>
      <c r="B180" s="2"/>
      <c r="C180" s="23" t="s">
        <v>161</v>
      </c>
      <c r="D180" s="8">
        <v>28673</v>
      </c>
      <c r="E180" s="8">
        <v>28204</v>
      </c>
      <c r="F180" s="8">
        <v>32692</v>
      </c>
      <c r="G180" s="8">
        <v>0</v>
      </c>
      <c r="H180" s="9"/>
      <c r="I180" s="9"/>
      <c r="J180" s="9"/>
      <c r="K180" s="9"/>
      <c r="L180" s="9"/>
      <c r="M180" s="9"/>
      <c r="N180" s="9"/>
      <c r="O180" s="9"/>
    </row>
    <row r="181" spans="1:15" x14ac:dyDescent="0.35">
      <c r="A181" s="2"/>
      <c r="B181" s="2"/>
      <c r="C181" s="23" t="s">
        <v>162</v>
      </c>
      <c r="D181" s="8">
        <v>31020</v>
      </c>
      <c r="E181" s="8">
        <v>33276</v>
      </c>
      <c r="F181" s="8">
        <v>31725</v>
      </c>
      <c r="G181" s="8">
        <v>0</v>
      </c>
      <c r="H181" s="9"/>
      <c r="I181" s="9"/>
      <c r="J181" s="9"/>
      <c r="K181" s="9"/>
      <c r="L181" s="9"/>
      <c r="M181" s="9"/>
      <c r="N181" s="9"/>
      <c r="O181" s="9"/>
    </row>
    <row r="182" spans="1:15" x14ac:dyDescent="0.35">
      <c r="A182" s="2"/>
      <c r="B182" s="2"/>
      <c r="C182" s="23" t="s">
        <v>163</v>
      </c>
      <c r="D182" s="8">
        <v>5449823</v>
      </c>
      <c r="E182" s="8">
        <v>4999098</v>
      </c>
      <c r="F182" s="8">
        <v>8368766</v>
      </c>
      <c r="G182" s="8">
        <v>5527156.4400000004</v>
      </c>
      <c r="H182" s="9"/>
      <c r="I182" s="9"/>
      <c r="J182" s="9"/>
      <c r="K182" s="9"/>
      <c r="L182" s="9"/>
      <c r="M182" s="9"/>
      <c r="N182" s="9"/>
      <c r="O182" s="9"/>
    </row>
    <row r="183" spans="1:15" x14ac:dyDescent="0.35">
      <c r="A183" s="2"/>
      <c r="B183" s="2"/>
      <c r="C183" s="23" t="s">
        <v>165</v>
      </c>
      <c r="D183" s="8">
        <v>309617</v>
      </c>
      <c r="E183" s="8">
        <v>689993</v>
      </c>
      <c r="F183" s="8">
        <v>418071</v>
      </c>
      <c r="G183" s="8">
        <v>854571</v>
      </c>
      <c r="H183" s="9"/>
      <c r="I183" s="9"/>
      <c r="J183" s="9"/>
      <c r="K183" s="9"/>
      <c r="L183" s="9"/>
      <c r="M183" s="9"/>
      <c r="N183" s="9"/>
      <c r="O183" s="9"/>
    </row>
    <row r="184" spans="1:15" x14ac:dyDescent="0.35">
      <c r="A184" s="2"/>
      <c r="B184" s="2"/>
      <c r="C184" s="23" t="s">
        <v>166</v>
      </c>
      <c r="D184" s="8">
        <v>583525</v>
      </c>
      <c r="E184" s="8">
        <v>306489</v>
      </c>
      <c r="F184" s="8">
        <v>619548</v>
      </c>
      <c r="G184" s="8">
        <v>30000</v>
      </c>
      <c r="H184" s="9"/>
      <c r="I184" s="9"/>
      <c r="J184" s="9"/>
      <c r="K184" s="9"/>
      <c r="L184" s="9"/>
      <c r="M184" s="9"/>
      <c r="N184" s="9"/>
      <c r="O184" s="9"/>
    </row>
    <row r="185" spans="1:15" x14ac:dyDescent="0.35">
      <c r="A185" s="2"/>
      <c r="B185" s="2"/>
      <c r="C185" s="23" t="s">
        <v>168</v>
      </c>
      <c r="D185" s="8">
        <v>7720074.4100000001</v>
      </c>
      <c r="E185" s="8">
        <v>8890029.2599999998</v>
      </c>
      <c r="F185" s="8">
        <v>10327032.970000001</v>
      </c>
      <c r="G185" s="8">
        <v>0</v>
      </c>
      <c r="H185" s="9"/>
      <c r="I185" s="9"/>
      <c r="J185" s="9"/>
      <c r="K185" s="9"/>
      <c r="L185" s="9"/>
      <c r="M185" s="9"/>
      <c r="N185" s="9"/>
      <c r="O185" s="9"/>
    </row>
    <row r="186" spans="1:15" x14ac:dyDescent="0.35">
      <c r="A186" s="2"/>
      <c r="B186" s="2"/>
      <c r="C186" s="23" t="s">
        <v>169</v>
      </c>
      <c r="D186" s="8">
        <v>-283391.21000000002</v>
      </c>
      <c r="E186" s="8">
        <v>-113198</v>
      </c>
      <c r="F186" s="8">
        <v>-144131.20000000001</v>
      </c>
      <c r="G186" s="8">
        <v>-55429</v>
      </c>
      <c r="H186" s="9"/>
      <c r="I186" s="9"/>
      <c r="J186" s="9"/>
      <c r="K186" s="9"/>
      <c r="L186" s="9"/>
      <c r="M186" s="9"/>
      <c r="N186" s="9"/>
      <c r="O186" s="9"/>
    </row>
    <row r="187" spans="1:15" x14ac:dyDescent="0.35">
      <c r="A187" s="2"/>
      <c r="B187" s="2"/>
      <c r="C187" s="23" t="s">
        <v>170</v>
      </c>
      <c r="D187" s="8">
        <v>-400000</v>
      </c>
      <c r="E187" s="8">
        <v>25000</v>
      </c>
      <c r="F187" s="8">
        <v>0</v>
      </c>
      <c r="G187" s="8">
        <v>7075057.2999999998</v>
      </c>
      <c r="H187" s="9"/>
      <c r="I187" s="9"/>
      <c r="J187" s="9"/>
      <c r="K187" s="9"/>
      <c r="L187" s="9"/>
      <c r="M187" s="9"/>
      <c r="N187" s="9"/>
      <c r="O187" s="9"/>
    </row>
    <row r="188" spans="1:15" x14ac:dyDescent="0.35">
      <c r="A188" s="2"/>
      <c r="B188" s="2"/>
      <c r="C188" s="35" t="s">
        <v>401</v>
      </c>
      <c r="D188" s="40">
        <f>SUM(D162:D187)</f>
        <v>15874000.66</v>
      </c>
      <c r="E188" s="40">
        <f t="shared" ref="E188:O188" si="17">SUM(E162:E187)</f>
        <v>16485448.08</v>
      </c>
      <c r="F188" s="40">
        <f t="shared" si="17"/>
        <v>40206544.449999996</v>
      </c>
      <c r="G188" s="40">
        <f t="shared" si="17"/>
        <v>-13800519.969999999</v>
      </c>
      <c r="H188" s="40">
        <f t="shared" si="17"/>
        <v>12624303.529999999</v>
      </c>
      <c r="I188" s="40">
        <f t="shared" si="17"/>
        <v>20515932.009999998</v>
      </c>
      <c r="J188" s="40">
        <f t="shared" si="17"/>
        <v>16846085.340000004</v>
      </c>
      <c r="K188" s="40">
        <f t="shared" si="17"/>
        <v>14877569.979999999</v>
      </c>
      <c r="L188" s="40">
        <f t="shared" si="17"/>
        <v>18789118.550000001</v>
      </c>
      <c r="M188" s="40">
        <f t="shared" si="17"/>
        <v>17253262.68</v>
      </c>
      <c r="N188" s="40">
        <f t="shared" si="17"/>
        <v>18391718.470000006</v>
      </c>
      <c r="O188" s="40">
        <f t="shared" si="17"/>
        <v>24336068.050000004</v>
      </c>
    </row>
    <row r="189" spans="1:15" x14ac:dyDescent="0.35">
      <c r="A189" s="2"/>
      <c r="B189" s="2"/>
      <c r="C189" s="2"/>
      <c r="D189" s="2"/>
      <c r="E189" s="2"/>
      <c r="F189" s="2"/>
      <c r="G189" s="2"/>
      <c r="H189" s="9"/>
      <c r="I189" s="9"/>
      <c r="J189" s="9"/>
      <c r="K189" s="9"/>
      <c r="L189" s="9"/>
      <c r="M189" s="9"/>
      <c r="N189" s="9"/>
      <c r="O189" s="9"/>
    </row>
    <row r="190" spans="1:15" x14ac:dyDescent="0.35">
      <c r="A190" s="2"/>
      <c r="B190" s="2" t="s">
        <v>522</v>
      </c>
      <c r="C190" s="34" t="s">
        <v>402</v>
      </c>
      <c r="D190" s="34"/>
      <c r="E190" s="34"/>
      <c r="F190" s="34"/>
      <c r="G190" s="34"/>
      <c r="H190" s="9">
        <v>7800</v>
      </c>
      <c r="I190" s="9">
        <v>0</v>
      </c>
      <c r="J190" s="9">
        <v>0</v>
      </c>
      <c r="K190" s="9">
        <v>0</v>
      </c>
      <c r="L190" s="9">
        <v>0</v>
      </c>
      <c r="M190" s="9">
        <v>0</v>
      </c>
      <c r="N190" s="9">
        <v>0</v>
      </c>
      <c r="O190" s="9">
        <v>0</v>
      </c>
    </row>
    <row r="191" spans="1:15" x14ac:dyDescent="0.35">
      <c r="A191" s="2"/>
      <c r="B191" s="2" t="s">
        <v>523</v>
      </c>
      <c r="C191" s="34" t="s">
        <v>403</v>
      </c>
      <c r="D191" s="34"/>
      <c r="E191" s="34"/>
      <c r="F191" s="34"/>
      <c r="G191" s="34"/>
      <c r="H191" s="9">
        <v>0</v>
      </c>
      <c r="I191" s="9">
        <v>0</v>
      </c>
      <c r="J191" s="9">
        <v>0</v>
      </c>
      <c r="K191" s="9">
        <v>0</v>
      </c>
      <c r="L191" s="9">
        <v>301999.90000000002</v>
      </c>
      <c r="M191" s="9">
        <v>0</v>
      </c>
      <c r="N191" s="9">
        <v>0</v>
      </c>
      <c r="O191" s="9">
        <v>0</v>
      </c>
    </row>
    <row r="192" spans="1:15" x14ac:dyDescent="0.35">
      <c r="A192" s="2"/>
      <c r="B192" s="2" t="s">
        <v>524</v>
      </c>
      <c r="C192" s="34" t="s">
        <v>404</v>
      </c>
      <c r="D192" s="34"/>
      <c r="E192" s="34"/>
      <c r="F192" s="34"/>
      <c r="G192" s="34"/>
      <c r="H192" s="9">
        <v>0</v>
      </c>
      <c r="I192" s="9">
        <v>0</v>
      </c>
      <c r="J192" s="9">
        <v>0</v>
      </c>
      <c r="K192" s="9">
        <v>0</v>
      </c>
      <c r="L192" s="9">
        <v>0</v>
      </c>
      <c r="M192" s="9">
        <v>0</v>
      </c>
      <c r="N192" s="9">
        <v>0</v>
      </c>
      <c r="O192" s="9">
        <v>0</v>
      </c>
    </row>
    <row r="193" spans="1:15" x14ac:dyDescent="0.35">
      <c r="A193" s="2"/>
      <c r="B193" s="2" t="s">
        <v>525</v>
      </c>
      <c r="C193" s="34" t="s">
        <v>405</v>
      </c>
      <c r="D193" s="34"/>
      <c r="E193" s="34"/>
      <c r="F193" s="34"/>
      <c r="G193" s="34"/>
      <c r="H193" s="9">
        <v>0</v>
      </c>
      <c r="I193" s="9">
        <v>0</v>
      </c>
      <c r="J193" s="9">
        <v>2249</v>
      </c>
      <c r="K193" s="9">
        <v>0</v>
      </c>
      <c r="L193" s="9">
        <v>0</v>
      </c>
      <c r="M193" s="9">
        <v>0</v>
      </c>
      <c r="N193" s="9">
        <v>0</v>
      </c>
      <c r="O193" s="9">
        <v>0</v>
      </c>
    </row>
    <row r="194" spans="1:15" x14ac:dyDescent="0.35">
      <c r="A194" s="2"/>
      <c r="B194" s="2" t="s">
        <v>526</v>
      </c>
      <c r="C194" s="34" t="s">
        <v>406</v>
      </c>
      <c r="D194" s="34"/>
      <c r="E194" s="34"/>
      <c r="F194" s="34"/>
      <c r="G194" s="34"/>
      <c r="H194" s="9">
        <v>0</v>
      </c>
      <c r="I194" s="9">
        <v>270488.18</v>
      </c>
      <c r="J194" s="9">
        <v>258593.46000000002</v>
      </c>
      <c r="K194" s="9">
        <v>251716.58999999997</v>
      </c>
      <c r="L194" s="9">
        <v>250937.64</v>
      </c>
      <c r="M194" s="9">
        <v>247758.59999999998</v>
      </c>
      <c r="N194" s="9">
        <v>245425.84000000008</v>
      </c>
      <c r="O194" s="9">
        <v>254749.41999999993</v>
      </c>
    </row>
    <row r="195" spans="1:15" x14ac:dyDescent="0.35">
      <c r="A195" s="2"/>
      <c r="B195" s="2" t="s">
        <v>527</v>
      </c>
      <c r="C195" s="34" t="s">
        <v>150</v>
      </c>
      <c r="D195" s="34"/>
      <c r="E195" s="34"/>
      <c r="F195" s="34"/>
      <c r="G195" s="34"/>
      <c r="H195" s="9">
        <v>0</v>
      </c>
      <c r="I195" s="9">
        <v>43078</v>
      </c>
      <c r="J195" s="9">
        <v>38282</v>
      </c>
      <c r="K195" s="9">
        <v>44515</v>
      </c>
      <c r="L195" s="9">
        <v>47169</v>
      </c>
      <c r="M195" s="9">
        <v>36963</v>
      </c>
      <c r="N195" s="9">
        <v>43400</v>
      </c>
      <c r="O195" s="9">
        <v>45105</v>
      </c>
    </row>
    <row r="196" spans="1:15" x14ac:dyDescent="0.35">
      <c r="A196" s="2"/>
      <c r="B196" s="2" t="s">
        <v>528</v>
      </c>
      <c r="C196" s="34" t="s">
        <v>407</v>
      </c>
      <c r="D196" s="34"/>
      <c r="E196" s="34"/>
      <c r="F196" s="34"/>
      <c r="G196" s="34"/>
      <c r="H196" s="9">
        <v>109820.78</v>
      </c>
      <c r="I196" s="9">
        <v>233991.00000000003</v>
      </c>
      <c r="J196" s="9">
        <v>66197.52999999997</v>
      </c>
      <c r="K196" s="9">
        <v>474724.86000000004</v>
      </c>
      <c r="L196" s="9">
        <v>0</v>
      </c>
      <c r="M196" s="9">
        <v>0</v>
      </c>
      <c r="N196" s="9">
        <v>108802.22999999998</v>
      </c>
      <c r="O196" s="9">
        <v>29.07999999995809</v>
      </c>
    </row>
    <row r="197" spans="1:15" x14ac:dyDescent="0.35">
      <c r="A197" s="2"/>
      <c r="B197" s="2" t="s">
        <v>529</v>
      </c>
      <c r="C197" s="34" t="s">
        <v>408</v>
      </c>
      <c r="D197" s="34"/>
      <c r="E197" s="34"/>
      <c r="F197" s="34"/>
      <c r="G197" s="34"/>
      <c r="H197" s="9">
        <v>0</v>
      </c>
      <c r="I197" s="9">
        <v>772.5</v>
      </c>
      <c r="J197" s="9">
        <v>2308.4</v>
      </c>
      <c r="K197" s="9">
        <v>0</v>
      </c>
      <c r="L197" s="9">
        <v>0</v>
      </c>
      <c r="M197" s="9">
        <v>0</v>
      </c>
      <c r="N197" s="9">
        <v>757.25</v>
      </c>
      <c r="O197" s="9">
        <v>1019.9999999999995</v>
      </c>
    </row>
    <row r="198" spans="1:15" x14ac:dyDescent="0.35">
      <c r="A198" s="2"/>
      <c r="B198" s="2" t="s">
        <v>530</v>
      </c>
      <c r="C198" s="34" t="s">
        <v>409</v>
      </c>
      <c r="D198" s="34"/>
      <c r="E198" s="34"/>
      <c r="F198" s="34"/>
      <c r="G198" s="34"/>
      <c r="H198" s="9">
        <v>1237240</v>
      </c>
      <c r="I198" s="9">
        <v>6000</v>
      </c>
      <c r="J198" s="9">
        <v>0</v>
      </c>
      <c r="K198" s="9">
        <v>14000</v>
      </c>
      <c r="L198" s="9">
        <v>0</v>
      </c>
      <c r="M198" s="9">
        <v>0</v>
      </c>
      <c r="N198" s="9">
        <v>0</v>
      </c>
      <c r="O198" s="9">
        <v>13650</v>
      </c>
    </row>
    <row r="199" spans="1:15" x14ac:dyDescent="0.35">
      <c r="A199" s="2"/>
      <c r="B199" s="2" t="s">
        <v>531</v>
      </c>
      <c r="C199" s="34" t="s">
        <v>410</v>
      </c>
      <c r="D199" s="34"/>
      <c r="E199" s="34"/>
      <c r="F199" s="34"/>
      <c r="G199" s="34"/>
      <c r="H199" s="9">
        <v>0</v>
      </c>
      <c r="I199" s="9">
        <v>13800</v>
      </c>
      <c r="J199" s="9">
        <v>16960</v>
      </c>
      <c r="K199" s="9">
        <v>13800</v>
      </c>
      <c r="L199" s="9">
        <v>912.2699999999968</v>
      </c>
      <c r="M199" s="9">
        <v>4141.6700000000055</v>
      </c>
      <c r="N199" s="9">
        <v>0</v>
      </c>
      <c r="O199" s="9">
        <v>5782.3299999999945</v>
      </c>
    </row>
    <row r="200" spans="1:15" x14ac:dyDescent="0.35">
      <c r="A200" s="2"/>
      <c r="B200" s="2" t="s">
        <v>532</v>
      </c>
      <c r="C200" s="34" t="s">
        <v>411</v>
      </c>
      <c r="D200" s="34"/>
      <c r="E200" s="34"/>
      <c r="F200" s="34"/>
      <c r="G200" s="34"/>
      <c r="H200" s="9">
        <v>0</v>
      </c>
      <c r="I200" s="9">
        <v>125000</v>
      </c>
      <c r="J200" s="9">
        <v>38000</v>
      </c>
      <c r="K200" s="9">
        <v>0</v>
      </c>
      <c r="L200" s="9">
        <v>0</v>
      </c>
      <c r="M200" s="9">
        <v>95000</v>
      </c>
      <c r="N200" s="9">
        <v>15950</v>
      </c>
      <c r="O200" s="9">
        <v>274656.81999999995</v>
      </c>
    </row>
    <row r="201" spans="1:15" x14ac:dyDescent="0.35">
      <c r="A201" s="2"/>
      <c r="B201" s="2" t="s">
        <v>533</v>
      </c>
      <c r="C201" s="34" t="s">
        <v>412</v>
      </c>
      <c r="D201" s="34"/>
      <c r="E201" s="34"/>
      <c r="F201" s="34"/>
      <c r="G201" s="34"/>
      <c r="H201" s="9">
        <v>0</v>
      </c>
      <c r="I201" s="9">
        <v>324218.90999999997</v>
      </c>
      <c r="J201" s="9">
        <v>92174</v>
      </c>
      <c r="K201" s="9">
        <v>31884</v>
      </c>
      <c r="L201" s="9">
        <v>46900</v>
      </c>
      <c r="M201" s="9">
        <v>23000</v>
      </c>
      <c r="N201" s="9">
        <v>6985.8600000000442</v>
      </c>
      <c r="O201" s="9">
        <v>117212.06999999995</v>
      </c>
    </row>
    <row r="202" spans="1:15" x14ac:dyDescent="0.35">
      <c r="A202" s="2"/>
      <c r="B202" s="2" t="s">
        <v>534</v>
      </c>
      <c r="C202" s="34" t="s">
        <v>413</v>
      </c>
      <c r="D202" s="34"/>
      <c r="E202" s="34"/>
      <c r="F202" s="34"/>
      <c r="G202" s="34"/>
      <c r="H202" s="9">
        <v>0</v>
      </c>
      <c r="I202" s="9">
        <v>1959.16</v>
      </c>
      <c r="J202" s="9">
        <v>999.99999999999977</v>
      </c>
      <c r="K202" s="9">
        <v>650</v>
      </c>
      <c r="L202" s="9">
        <v>372</v>
      </c>
      <c r="M202" s="9">
        <v>800</v>
      </c>
      <c r="N202" s="9">
        <v>3639.5499999999993</v>
      </c>
      <c r="O202" s="9">
        <v>2425</v>
      </c>
    </row>
    <row r="203" spans="1:15" x14ac:dyDescent="0.35">
      <c r="A203" s="2"/>
      <c r="B203" s="2" t="s">
        <v>535</v>
      </c>
      <c r="C203" s="34" t="s">
        <v>414</v>
      </c>
      <c r="D203" s="34"/>
      <c r="E203" s="34"/>
      <c r="F203" s="34"/>
      <c r="G203" s="34"/>
      <c r="H203" s="9">
        <v>0</v>
      </c>
      <c r="I203" s="9">
        <v>80282.83</v>
      </c>
      <c r="J203" s="9">
        <v>49914.34</v>
      </c>
      <c r="K203" s="9">
        <v>10000.000000000015</v>
      </c>
      <c r="L203" s="9">
        <v>30065.989999999991</v>
      </c>
      <c r="M203" s="9">
        <v>12671</v>
      </c>
      <c r="N203" s="9">
        <v>100638.31999999998</v>
      </c>
      <c r="O203" s="9">
        <v>140738.04000000004</v>
      </c>
    </row>
    <row r="204" spans="1:15" x14ac:dyDescent="0.35">
      <c r="A204" s="2"/>
      <c r="B204" s="2" t="s">
        <v>536</v>
      </c>
      <c r="C204" s="34" t="s">
        <v>415</v>
      </c>
      <c r="D204" s="34"/>
      <c r="E204" s="34"/>
      <c r="F204" s="34"/>
      <c r="G204" s="34"/>
      <c r="H204" s="9">
        <v>30261.21</v>
      </c>
      <c r="I204" s="9">
        <v>0</v>
      </c>
      <c r="J204" s="9">
        <v>0</v>
      </c>
      <c r="K204" s="9">
        <v>6634.5</v>
      </c>
      <c r="L204" s="9">
        <v>0</v>
      </c>
      <c r="M204" s="9">
        <v>0</v>
      </c>
      <c r="N204" s="9">
        <v>1265</v>
      </c>
      <c r="O204" s="9">
        <v>0</v>
      </c>
    </row>
    <row r="205" spans="1:15" x14ac:dyDescent="0.35">
      <c r="A205" s="2"/>
      <c r="B205" s="2" t="s">
        <v>537</v>
      </c>
      <c r="C205" s="34" t="s">
        <v>416</v>
      </c>
      <c r="D205" s="34"/>
      <c r="E205" s="34"/>
      <c r="F205" s="34"/>
      <c r="G205" s="34"/>
      <c r="H205" s="9">
        <v>0</v>
      </c>
      <c r="I205" s="9">
        <v>2096</v>
      </c>
      <c r="J205" s="9">
        <v>37634.49</v>
      </c>
      <c r="K205" s="9">
        <v>46424.62</v>
      </c>
      <c r="L205" s="9">
        <v>8871</v>
      </c>
      <c r="M205" s="9">
        <v>28967.940000000002</v>
      </c>
      <c r="N205" s="9">
        <v>71422.590000000011</v>
      </c>
      <c r="O205" s="9">
        <v>198955</v>
      </c>
    </row>
    <row r="206" spans="1:15" x14ac:dyDescent="0.35">
      <c r="A206" s="2"/>
      <c r="B206" s="2" t="s">
        <v>538</v>
      </c>
      <c r="C206" s="34" t="s">
        <v>417</v>
      </c>
      <c r="D206" s="34"/>
      <c r="E206" s="34"/>
      <c r="F206" s="34"/>
      <c r="G206" s="34"/>
      <c r="H206" s="9">
        <v>15631.48</v>
      </c>
      <c r="I206" s="9">
        <v>57915.83</v>
      </c>
      <c r="J206" s="9">
        <v>38957.660000000003</v>
      </c>
      <c r="K206" s="9">
        <v>1867</v>
      </c>
      <c r="L206" s="9">
        <v>38035.119999999995</v>
      </c>
      <c r="M206" s="9">
        <v>33586</v>
      </c>
      <c r="N206" s="9">
        <v>57430.610000000015</v>
      </c>
      <c r="O206" s="9">
        <v>119907.85999999999</v>
      </c>
    </row>
    <row r="207" spans="1:15" x14ac:dyDescent="0.35">
      <c r="A207" s="2"/>
      <c r="B207" s="2" t="s">
        <v>539</v>
      </c>
      <c r="C207" s="34" t="s">
        <v>418</v>
      </c>
      <c r="D207" s="34"/>
      <c r="E207" s="34"/>
      <c r="F207" s="34"/>
      <c r="G207" s="34"/>
      <c r="H207" s="9">
        <v>276393.61</v>
      </c>
      <c r="I207" s="9">
        <v>58065.679999999993</v>
      </c>
      <c r="J207" s="9">
        <v>153772.5</v>
      </c>
      <c r="K207" s="9">
        <v>247624.52000000008</v>
      </c>
      <c r="L207" s="9">
        <v>39908</v>
      </c>
      <c r="M207" s="9">
        <v>125593.60999999999</v>
      </c>
      <c r="N207" s="9">
        <v>539753.89</v>
      </c>
      <c r="O207" s="9">
        <v>2372703.0499999998</v>
      </c>
    </row>
    <row r="208" spans="1:15" x14ac:dyDescent="0.35">
      <c r="A208" s="2"/>
      <c r="B208" s="2" t="s">
        <v>540</v>
      </c>
      <c r="C208" s="34" t="s">
        <v>419</v>
      </c>
      <c r="D208" s="34"/>
      <c r="E208" s="34"/>
      <c r="F208" s="34"/>
      <c r="G208" s="34"/>
      <c r="H208" s="9">
        <v>0</v>
      </c>
      <c r="I208" s="9">
        <v>0</v>
      </c>
      <c r="J208" s="9">
        <v>174750.06</v>
      </c>
      <c r="K208" s="9">
        <v>0</v>
      </c>
      <c r="L208" s="9">
        <v>0</v>
      </c>
      <c r="M208" s="9">
        <v>0</v>
      </c>
      <c r="N208" s="9">
        <v>0</v>
      </c>
      <c r="O208" s="9">
        <v>0</v>
      </c>
    </row>
    <row r="209" spans="1:15" x14ac:dyDescent="0.35">
      <c r="A209" s="2"/>
      <c r="B209" s="2" t="s">
        <v>541</v>
      </c>
      <c r="C209" s="34" t="s">
        <v>420</v>
      </c>
      <c r="D209" s="34"/>
      <c r="E209" s="34"/>
      <c r="F209" s="34"/>
      <c r="G209" s="34"/>
      <c r="H209" s="9">
        <v>3255861.12</v>
      </c>
      <c r="I209" s="9">
        <v>-35926</v>
      </c>
      <c r="J209" s="9">
        <v>74147.5</v>
      </c>
      <c r="K209" s="9">
        <v>43645.5</v>
      </c>
      <c r="L209" s="9">
        <v>95425</v>
      </c>
      <c r="M209" s="9">
        <v>16072</v>
      </c>
      <c r="N209" s="9">
        <v>20531338</v>
      </c>
      <c r="O209" s="9">
        <v>42280</v>
      </c>
    </row>
    <row r="210" spans="1:15" x14ac:dyDescent="0.35">
      <c r="A210" s="2"/>
      <c r="B210" s="2" t="s">
        <v>542</v>
      </c>
      <c r="C210" s="34" t="s">
        <v>421</v>
      </c>
      <c r="D210" s="34"/>
      <c r="E210" s="34"/>
      <c r="F210" s="34"/>
      <c r="G210" s="34"/>
      <c r="H210" s="9">
        <v>1512</v>
      </c>
      <c r="I210" s="9">
        <v>756</v>
      </c>
      <c r="J210" s="9">
        <v>2156</v>
      </c>
      <c r="K210" s="9">
        <v>280</v>
      </c>
      <c r="L210" s="9">
        <v>2004</v>
      </c>
      <c r="M210" s="9">
        <v>1120.5200000000004</v>
      </c>
      <c r="N210" s="9">
        <v>4884.2999999999993</v>
      </c>
      <c r="O210" s="9">
        <v>0</v>
      </c>
    </row>
    <row r="211" spans="1:15" x14ac:dyDescent="0.35">
      <c r="A211" s="2"/>
      <c r="B211" s="2" t="s">
        <v>543</v>
      </c>
      <c r="C211" s="34" t="s">
        <v>219</v>
      </c>
      <c r="D211" s="34"/>
      <c r="E211" s="34"/>
      <c r="F211" s="34"/>
      <c r="G211" s="34"/>
      <c r="H211" s="9">
        <v>0</v>
      </c>
      <c r="I211" s="9">
        <v>53456</v>
      </c>
      <c r="J211" s="9">
        <v>24850</v>
      </c>
      <c r="K211" s="9">
        <v>39680.28</v>
      </c>
      <c r="L211" s="9">
        <v>31292</v>
      </c>
      <c r="M211" s="9">
        <v>30705</v>
      </c>
      <c r="N211" s="9">
        <v>39510</v>
      </c>
      <c r="O211" s="9">
        <v>6800</v>
      </c>
    </row>
    <row r="212" spans="1:15" x14ac:dyDescent="0.35">
      <c r="A212" s="2"/>
      <c r="B212" s="2" t="s">
        <v>544</v>
      </c>
      <c r="C212" s="34" t="s">
        <v>422</v>
      </c>
      <c r="D212" s="34"/>
      <c r="E212" s="34"/>
      <c r="F212" s="34"/>
      <c r="G212" s="34"/>
      <c r="H212" s="9">
        <v>0</v>
      </c>
      <c r="I212" s="9">
        <v>194289.48</v>
      </c>
      <c r="J212" s="9">
        <v>346946.86</v>
      </c>
      <c r="K212" s="9">
        <v>141438.92000000004</v>
      </c>
      <c r="L212" s="9">
        <v>150341.80999999994</v>
      </c>
      <c r="M212" s="9">
        <v>509295.64</v>
      </c>
      <c r="N212" s="9">
        <v>474285.75</v>
      </c>
      <c r="O212" s="9">
        <v>289369.54000000004</v>
      </c>
    </row>
    <row r="213" spans="1:15" x14ac:dyDescent="0.35">
      <c r="A213" s="2"/>
      <c r="B213" s="2" t="s">
        <v>545</v>
      </c>
      <c r="C213" s="34" t="s">
        <v>423</v>
      </c>
      <c r="D213" s="34"/>
      <c r="E213" s="34"/>
      <c r="F213" s="34"/>
      <c r="G213" s="34"/>
      <c r="H213" s="9">
        <v>0</v>
      </c>
      <c r="I213" s="9">
        <v>0</v>
      </c>
      <c r="J213" s="9">
        <v>338481.97</v>
      </c>
      <c r="K213" s="9">
        <v>0</v>
      </c>
      <c r="L213" s="9">
        <v>0</v>
      </c>
      <c r="M213" s="9">
        <v>469756.74</v>
      </c>
      <c r="N213" s="9">
        <v>351746.19999999995</v>
      </c>
      <c r="O213" s="9">
        <v>450753.75</v>
      </c>
    </row>
    <row r="214" spans="1:15" x14ac:dyDescent="0.35">
      <c r="A214" s="2"/>
      <c r="B214" s="2" t="s">
        <v>546</v>
      </c>
      <c r="C214" s="34" t="s">
        <v>424</v>
      </c>
      <c r="D214" s="34"/>
      <c r="E214" s="34"/>
      <c r="F214" s="34"/>
      <c r="G214" s="34"/>
      <c r="H214" s="9">
        <v>0</v>
      </c>
      <c r="I214" s="9">
        <v>4655.04</v>
      </c>
      <c r="J214" s="9">
        <v>19937</v>
      </c>
      <c r="K214" s="9">
        <v>2424.9599999999991</v>
      </c>
      <c r="L214" s="9">
        <v>10048.760000000002</v>
      </c>
      <c r="M214" s="9">
        <v>10928.759999999995</v>
      </c>
      <c r="N214" s="9">
        <v>11688.600000000006</v>
      </c>
      <c r="O214" s="9">
        <v>11593.919999999991</v>
      </c>
    </row>
    <row r="215" spans="1:15" x14ac:dyDescent="0.35">
      <c r="A215" s="2"/>
      <c r="B215" s="2" t="s">
        <v>547</v>
      </c>
      <c r="C215" s="34" t="s">
        <v>425</v>
      </c>
      <c r="D215" s="34"/>
      <c r="E215" s="34"/>
      <c r="F215" s="34"/>
      <c r="G215" s="34"/>
      <c r="H215" s="9">
        <v>44658.22</v>
      </c>
      <c r="I215" s="9">
        <v>28044</v>
      </c>
      <c r="J215" s="9">
        <v>94235</v>
      </c>
      <c r="K215" s="9">
        <v>47500</v>
      </c>
      <c r="L215" s="9">
        <v>0</v>
      </c>
      <c r="M215" s="9">
        <v>141723.99999999997</v>
      </c>
      <c r="N215" s="9">
        <v>42500</v>
      </c>
      <c r="O215" s="9">
        <v>23750</v>
      </c>
    </row>
    <row r="216" spans="1:15" x14ac:dyDescent="0.35">
      <c r="A216" s="2"/>
      <c r="B216" s="2" t="s">
        <v>548</v>
      </c>
      <c r="C216" s="34" t="s">
        <v>426</v>
      </c>
      <c r="D216" s="34"/>
      <c r="E216" s="34"/>
      <c r="F216" s="34"/>
      <c r="G216" s="34"/>
      <c r="H216" s="9">
        <v>1815</v>
      </c>
      <c r="I216" s="9">
        <v>26485</v>
      </c>
      <c r="J216" s="9">
        <v>6922.5</v>
      </c>
      <c r="K216" s="9">
        <v>5726</v>
      </c>
      <c r="L216" s="9">
        <v>0</v>
      </c>
      <c r="M216" s="9">
        <v>1100</v>
      </c>
      <c r="N216" s="9">
        <v>860</v>
      </c>
      <c r="O216" s="9">
        <v>13362</v>
      </c>
    </row>
    <row r="217" spans="1:15" x14ac:dyDescent="0.35">
      <c r="A217" s="2"/>
      <c r="B217" s="2" t="s">
        <v>549</v>
      </c>
      <c r="C217" s="34" t="s">
        <v>427</v>
      </c>
      <c r="D217" s="34"/>
      <c r="E217" s="34"/>
      <c r="F217" s="34"/>
      <c r="G217" s="34"/>
      <c r="H217" s="9">
        <v>0</v>
      </c>
      <c r="I217" s="9">
        <v>0</v>
      </c>
      <c r="J217" s="9">
        <v>0</v>
      </c>
      <c r="K217" s="9">
        <v>0</v>
      </c>
      <c r="L217" s="9">
        <v>0</v>
      </c>
      <c r="M217" s="9">
        <v>0</v>
      </c>
      <c r="N217" s="9">
        <v>51000</v>
      </c>
      <c r="O217" s="9">
        <v>58000</v>
      </c>
    </row>
    <row r="218" spans="1:15" x14ac:dyDescent="0.35">
      <c r="A218" s="2"/>
      <c r="B218" s="2" t="s">
        <v>550</v>
      </c>
      <c r="C218" s="34" t="s">
        <v>428</v>
      </c>
      <c r="D218" s="34"/>
      <c r="E218" s="34"/>
      <c r="F218" s="34"/>
      <c r="G218" s="34"/>
      <c r="H218" s="9">
        <v>0</v>
      </c>
      <c r="I218" s="9">
        <v>151000</v>
      </c>
      <c r="J218" s="9">
        <v>105000</v>
      </c>
      <c r="K218" s="9">
        <v>429000</v>
      </c>
      <c r="L218" s="9">
        <v>394500</v>
      </c>
      <c r="M218" s="9">
        <v>294818</v>
      </c>
      <c r="N218" s="9">
        <v>342970</v>
      </c>
      <c r="O218" s="9">
        <v>728047</v>
      </c>
    </row>
    <row r="219" spans="1:15" x14ac:dyDescent="0.35">
      <c r="A219" s="2"/>
      <c r="B219" s="2" t="s">
        <v>551</v>
      </c>
      <c r="C219" s="34" t="s">
        <v>429</v>
      </c>
      <c r="D219" s="34"/>
      <c r="E219" s="34"/>
      <c r="F219" s="34"/>
      <c r="G219" s="34"/>
      <c r="H219" s="9">
        <v>141766</v>
      </c>
      <c r="I219" s="9">
        <v>0</v>
      </c>
      <c r="J219" s="9">
        <v>0</v>
      </c>
      <c r="K219" s="9">
        <v>0</v>
      </c>
      <c r="L219" s="9">
        <v>0</v>
      </c>
      <c r="M219" s="9">
        <v>0</v>
      </c>
      <c r="N219" s="9">
        <v>0</v>
      </c>
      <c r="O219" s="9">
        <v>0</v>
      </c>
    </row>
    <row r="220" spans="1:15" x14ac:dyDescent="0.35">
      <c r="A220" s="2"/>
      <c r="B220" s="2" t="s">
        <v>552</v>
      </c>
      <c r="C220" s="34" t="s">
        <v>430</v>
      </c>
      <c r="D220" s="34"/>
      <c r="E220" s="34"/>
      <c r="F220" s="34"/>
      <c r="G220" s="34"/>
      <c r="H220" s="9">
        <v>120000</v>
      </c>
      <c r="I220" s="9">
        <v>60000</v>
      </c>
      <c r="J220" s="9">
        <v>60000</v>
      </c>
      <c r="K220" s="9">
        <v>60000</v>
      </c>
      <c r="L220" s="9">
        <v>60000</v>
      </c>
      <c r="M220" s="9">
        <v>60000</v>
      </c>
      <c r="N220" s="9">
        <v>0</v>
      </c>
      <c r="O220" s="9">
        <v>120000</v>
      </c>
    </row>
    <row r="221" spans="1:15" x14ac:dyDescent="0.35">
      <c r="A221" s="2"/>
      <c r="B221" s="2" t="s">
        <v>553</v>
      </c>
      <c r="C221" s="34" t="s">
        <v>431</v>
      </c>
      <c r="D221" s="34"/>
      <c r="E221" s="34"/>
      <c r="F221" s="34"/>
      <c r="G221" s="34"/>
      <c r="H221" s="9">
        <v>2936050</v>
      </c>
      <c r="I221" s="9">
        <v>1415825</v>
      </c>
      <c r="J221" s="9">
        <v>1415825</v>
      </c>
      <c r="K221" s="9">
        <v>1442836</v>
      </c>
      <c r="L221" s="9">
        <v>1442836</v>
      </c>
      <c r="M221" s="9">
        <v>1521640</v>
      </c>
      <c r="N221" s="9">
        <v>1600444</v>
      </c>
      <c r="O221" s="9">
        <v>1521640</v>
      </c>
    </row>
    <row r="222" spans="1:15" x14ac:dyDescent="0.35">
      <c r="A222" s="2"/>
      <c r="B222" s="2" t="s">
        <v>554</v>
      </c>
      <c r="C222" s="34" t="s">
        <v>432</v>
      </c>
      <c r="D222" s="34"/>
      <c r="E222" s="34"/>
      <c r="F222" s="34"/>
      <c r="G222" s="34"/>
      <c r="H222" s="9">
        <v>14527.85</v>
      </c>
      <c r="I222" s="9">
        <v>960411.91</v>
      </c>
      <c r="J222" s="9">
        <v>713529.8899999999</v>
      </c>
      <c r="K222" s="9">
        <v>717070.78000000026</v>
      </c>
      <c r="L222" s="9">
        <v>761739.79999999981</v>
      </c>
      <c r="M222" s="9">
        <v>697524.44</v>
      </c>
      <c r="N222" s="9">
        <v>748005.59999999963</v>
      </c>
      <c r="O222" s="9">
        <v>773232.55000000075</v>
      </c>
    </row>
    <row r="223" spans="1:15" x14ac:dyDescent="0.35">
      <c r="A223" s="2"/>
      <c r="B223" s="2" t="s">
        <v>555</v>
      </c>
      <c r="C223" s="34" t="s">
        <v>433</v>
      </c>
      <c r="D223" s="34"/>
      <c r="E223" s="34"/>
      <c r="F223" s="34"/>
      <c r="G223" s="34"/>
      <c r="H223" s="9">
        <v>0</v>
      </c>
      <c r="I223" s="9">
        <v>0</v>
      </c>
      <c r="J223" s="9">
        <v>121245.4</v>
      </c>
      <c r="K223" s="9">
        <v>98367</v>
      </c>
      <c r="L223" s="9">
        <v>96510.000000000029</v>
      </c>
      <c r="M223" s="9">
        <v>71579</v>
      </c>
      <c r="N223" s="9">
        <v>106596</v>
      </c>
      <c r="O223" s="9">
        <v>100500</v>
      </c>
    </row>
    <row r="224" spans="1:15" x14ac:dyDescent="0.35">
      <c r="A224" s="2"/>
      <c r="B224" s="2" t="s">
        <v>556</v>
      </c>
      <c r="C224" s="34" t="s">
        <v>434</v>
      </c>
      <c r="D224" s="34"/>
      <c r="E224" s="34"/>
      <c r="F224" s="34"/>
      <c r="G224" s="34"/>
      <c r="H224" s="9">
        <v>0</v>
      </c>
      <c r="I224" s="9">
        <v>0</v>
      </c>
      <c r="J224" s="9">
        <v>0</v>
      </c>
      <c r="K224" s="9">
        <v>0</v>
      </c>
      <c r="L224" s="9">
        <v>0</v>
      </c>
      <c r="M224" s="9">
        <v>21000</v>
      </c>
      <c r="N224" s="9">
        <v>0</v>
      </c>
      <c r="O224" s="9">
        <v>0</v>
      </c>
    </row>
    <row r="225" spans="1:15" x14ac:dyDescent="0.35">
      <c r="A225" s="2"/>
      <c r="B225" s="2" t="s">
        <v>557</v>
      </c>
      <c r="C225" s="34" t="s">
        <v>157</v>
      </c>
      <c r="D225" s="34"/>
      <c r="E225" s="34"/>
      <c r="F225" s="34"/>
      <c r="G225" s="34"/>
      <c r="H225" s="9">
        <v>5341.76</v>
      </c>
      <c r="I225" s="9">
        <v>4955.2999999999993</v>
      </c>
      <c r="J225" s="9">
        <v>6382.7199999999993</v>
      </c>
      <c r="K225" s="9">
        <v>5596.84</v>
      </c>
      <c r="L225" s="9">
        <v>4340.4000000000015</v>
      </c>
      <c r="M225" s="9">
        <v>3220.8999999999978</v>
      </c>
      <c r="N225" s="9">
        <v>4727.9000000000015</v>
      </c>
      <c r="O225" s="9">
        <v>0</v>
      </c>
    </row>
    <row r="226" spans="1:15" x14ac:dyDescent="0.35">
      <c r="A226" s="2"/>
      <c r="B226" s="2" t="s">
        <v>558</v>
      </c>
      <c r="C226" s="34" t="s">
        <v>205</v>
      </c>
      <c r="D226" s="34"/>
      <c r="E226" s="34"/>
      <c r="F226" s="34"/>
      <c r="G226" s="34"/>
      <c r="H226" s="9">
        <v>3000</v>
      </c>
      <c r="I226" s="9">
        <v>158371.28</v>
      </c>
      <c r="J226" s="9">
        <v>10161.890000000014</v>
      </c>
      <c r="K226" s="9">
        <v>23736.169999999984</v>
      </c>
      <c r="L226" s="9">
        <v>10561.890000000014</v>
      </c>
      <c r="M226" s="9">
        <v>4561.8899999999849</v>
      </c>
      <c r="N226" s="9">
        <v>25472.890000000014</v>
      </c>
      <c r="O226" s="9">
        <v>119289.39000000001</v>
      </c>
    </row>
    <row r="227" spans="1:15" x14ac:dyDescent="0.35">
      <c r="A227" s="2"/>
      <c r="B227" s="2" t="s">
        <v>559</v>
      </c>
      <c r="C227" s="34" t="s">
        <v>435</v>
      </c>
      <c r="D227" s="34"/>
      <c r="E227" s="34"/>
      <c r="F227" s="34"/>
      <c r="G227" s="34"/>
      <c r="H227" s="9">
        <v>17198.5</v>
      </c>
      <c r="I227" s="9">
        <v>1027.9000000000015</v>
      </c>
      <c r="J227" s="9">
        <v>2914.3999999999978</v>
      </c>
      <c r="K227" s="9">
        <v>7889.2000000000007</v>
      </c>
      <c r="L227" s="9">
        <v>36977.300000000003</v>
      </c>
      <c r="M227" s="9">
        <v>15422.199999999997</v>
      </c>
      <c r="N227" s="9">
        <v>7108.1999999999971</v>
      </c>
      <c r="O227" s="9">
        <v>8625.1999999999971</v>
      </c>
    </row>
    <row r="228" spans="1:15" x14ac:dyDescent="0.35">
      <c r="A228" s="2"/>
      <c r="B228" s="2"/>
      <c r="C228" s="23" t="s">
        <v>176</v>
      </c>
      <c r="D228" s="8">
        <v>49000</v>
      </c>
      <c r="E228" s="8">
        <v>0</v>
      </c>
      <c r="F228" s="8">
        <v>0</v>
      </c>
      <c r="G228" s="8">
        <v>0</v>
      </c>
      <c r="H228" s="9"/>
      <c r="I228" s="9"/>
      <c r="J228" s="9"/>
      <c r="K228" s="9"/>
      <c r="L228" s="9"/>
      <c r="M228" s="9"/>
      <c r="N228" s="9"/>
      <c r="O228" s="9"/>
    </row>
    <row r="229" spans="1:15" x14ac:dyDescent="0.35">
      <c r="A229" s="2"/>
      <c r="B229" s="2"/>
      <c r="C229" s="23" t="s">
        <v>177</v>
      </c>
      <c r="D229" s="8">
        <v>0</v>
      </c>
      <c r="E229" s="8">
        <v>0</v>
      </c>
      <c r="F229" s="8">
        <v>12166.65</v>
      </c>
      <c r="G229" s="8">
        <v>0</v>
      </c>
      <c r="H229" s="9"/>
      <c r="I229" s="9"/>
      <c r="J229" s="9"/>
      <c r="K229" s="9"/>
      <c r="L229" s="9"/>
      <c r="M229" s="9"/>
      <c r="N229" s="9"/>
      <c r="O229" s="9"/>
    </row>
    <row r="230" spans="1:15" x14ac:dyDescent="0.35">
      <c r="A230" s="2"/>
      <c r="B230" s="2"/>
      <c r="C230" s="23" t="s">
        <v>178</v>
      </c>
      <c r="D230" s="8">
        <v>0</v>
      </c>
      <c r="E230" s="8">
        <v>12000</v>
      </c>
      <c r="F230" s="8">
        <v>630974</v>
      </c>
      <c r="G230" s="8">
        <v>0</v>
      </c>
      <c r="H230" s="9"/>
      <c r="I230" s="9"/>
      <c r="J230" s="9"/>
      <c r="K230" s="9"/>
      <c r="L230" s="9"/>
      <c r="M230" s="9"/>
      <c r="N230" s="9"/>
      <c r="O230" s="9"/>
    </row>
    <row r="231" spans="1:15" x14ac:dyDescent="0.35">
      <c r="A231" s="2"/>
      <c r="B231" s="2"/>
      <c r="C231" s="23" t="s">
        <v>179</v>
      </c>
      <c r="D231" s="8">
        <v>-5260.23</v>
      </c>
      <c r="E231" s="8">
        <v>0</v>
      </c>
      <c r="F231" s="8">
        <v>0</v>
      </c>
      <c r="G231" s="8">
        <v>0</v>
      </c>
      <c r="H231" s="9"/>
      <c r="I231" s="9"/>
      <c r="J231" s="9"/>
      <c r="K231" s="9"/>
      <c r="L231" s="9"/>
      <c r="M231" s="9"/>
      <c r="N231" s="9"/>
      <c r="O231" s="9"/>
    </row>
    <row r="232" spans="1:15" x14ac:dyDescent="0.35">
      <c r="A232" s="2"/>
      <c r="B232" s="2"/>
      <c r="C232" s="23" t="s">
        <v>180</v>
      </c>
      <c r="D232" s="8">
        <v>0</v>
      </c>
      <c r="E232" s="8">
        <v>147</v>
      </c>
      <c r="F232" s="8">
        <v>0</v>
      </c>
      <c r="G232" s="8">
        <v>0</v>
      </c>
      <c r="H232" s="9"/>
      <c r="I232" s="9"/>
      <c r="J232" s="9"/>
      <c r="K232" s="9"/>
      <c r="L232" s="9"/>
      <c r="M232" s="9"/>
      <c r="N232" s="9"/>
      <c r="O232" s="9"/>
    </row>
    <row r="233" spans="1:15" x14ac:dyDescent="0.35">
      <c r="A233" s="2"/>
      <c r="B233" s="2"/>
      <c r="C233" s="23" t="s">
        <v>181</v>
      </c>
      <c r="D233" s="8">
        <v>0</v>
      </c>
      <c r="E233" s="8">
        <v>20.69</v>
      </c>
      <c r="F233" s="8">
        <v>0</v>
      </c>
      <c r="G233" s="8">
        <v>0</v>
      </c>
      <c r="H233" s="9"/>
      <c r="I233" s="9"/>
      <c r="J233" s="9"/>
      <c r="K233" s="9"/>
      <c r="L233" s="9"/>
      <c r="M233" s="9"/>
      <c r="N233" s="9"/>
      <c r="O233" s="9"/>
    </row>
    <row r="234" spans="1:15" x14ac:dyDescent="0.35">
      <c r="A234" s="2"/>
      <c r="B234" s="2"/>
      <c r="C234" s="23" t="s">
        <v>182</v>
      </c>
      <c r="D234" s="8">
        <v>0</v>
      </c>
      <c r="E234" s="8">
        <v>0</v>
      </c>
      <c r="F234" s="8">
        <v>799204</v>
      </c>
      <c r="G234" s="8">
        <v>0</v>
      </c>
      <c r="H234" s="9"/>
      <c r="I234" s="9"/>
      <c r="J234" s="9"/>
      <c r="K234" s="9"/>
      <c r="L234" s="9"/>
      <c r="M234" s="9"/>
      <c r="N234" s="9"/>
      <c r="O234" s="9"/>
    </row>
    <row r="235" spans="1:15" x14ac:dyDescent="0.35">
      <c r="A235" s="2"/>
      <c r="B235" s="2"/>
      <c r="C235" s="23" t="s">
        <v>187</v>
      </c>
      <c r="D235" s="8">
        <v>0</v>
      </c>
      <c r="E235" s="8">
        <v>0</v>
      </c>
      <c r="F235" s="8">
        <v>0</v>
      </c>
      <c r="G235" s="8">
        <v>-234050</v>
      </c>
      <c r="H235" s="9"/>
      <c r="I235" s="9"/>
      <c r="J235" s="9"/>
      <c r="K235" s="9"/>
      <c r="L235" s="9"/>
      <c r="M235" s="9"/>
      <c r="N235" s="9"/>
      <c r="O235" s="9"/>
    </row>
    <row r="236" spans="1:15" x14ac:dyDescent="0.35">
      <c r="A236" s="2"/>
      <c r="B236" s="2"/>
      <c r="C236" s="23" t="s">
        <v>191</v>
      </c>
      <c r="D236" s="8">
        <v>0</v>
      </c>
      <c r="E236" s="8">
        <v>0</v>
      </c>
      <c r="F236" s="8">
        <v>24534</v>
      </c>
      <c r="G236" s="8">
        <v>0</v>
      </c>
      <c r="H236" s="9"/>
      <c r="I236" s="9"/>
      <c r="J236" s="9"/>
      <c r="K236" s="9"/>
      <c r="L236" s="9"/>
      <c r="M236" s="9"/>
      <c r="N236" s="9"/>
      <c r="O236" s="9"/>
    </row>
    <row r="237" spans="1:15" x14ac:dyDescent="0.35">
      <c r="A237" s="2"/>
      <c r="B237" s="2"/>
      <c r="C237" s="23" t="s">
        <v>193</v>
      </c>
      <c r="D237" s="8">
        <v>338844</v>
      </c>
      <c r="E237" s="8">
        <v>1772055</v>
      </c>
      <c r="F237" s="8">
        <v>1868844</v>
      </c>
      <c r="G237" s="8">
        <v>-5509743</v>
      </c>
      <c r="H237" s="9"/>
      <c r="I237" s="9"/>
      <c r="J237" s="9"/>
      <c r="K237" s="9"/>
      <c r="L237" s="9"/>
      <c r="M237" s="9"/>
      <c r="N237" s="9"/>
      <c r="O237" s="9"/>
    </row>
    <row r="238" spans="1:15" x14ac:dyDescent="0.35">
      <c r="A238" s="2"/>
      <c r="B238" s="2"/>
      <c r="C238" s="23" t="s">
        <v>195</v>
      </c>
      <c r="D238" s="8">
        <v>0</v>
      </c>
      <c r="E238" s="8">
        <v>10500</v>
      </c>
      <c r="F238" s="8">
        <v>0</v>
      </c>
      <c r="G238" s="8">
        <v>0</v>
      </c>
      <c r="H238" s="9"/>
      <c r="I238" s="9"/>
      <c r="J238" s="9"/>
      <c r="K238" s="9"/>
      <c r="L238" s="9"/>
      <c r="M238" s="9"/>
      <c r="N238" s="9"/>
      <c r="O238" s="9"/>
    </row>
    <row r="239" spans="1:15" x14ac:dyDescent="0.35">
      <c r="A239" s="2"/>
      <c r="B239" s="2"/>
      <c r="C239" s="23" t="s">
        <v>196</v>
      </c>
      <c r="D239" s="8">
        <v>273674.7</v>
      </c>
      <c r="E239" s="8">
        <v>0</v>
      </c>
      <c r="F239" s="8">
        <v>0</v>
      </c>
      <c r="G239" s="8">
        <v>0</v>
      </c>
      <c r="H239" s="9"/>
      <c r="I239" s="9"/>
      <c r="J239" s="9"/>
      <c r="K239" s="9"/>
      <c r="L239" s="9"/>
      <c r="M239" s="9"/>
      <c r="N239" s="9"/>
      <c r="O239" s="9"/>
    </row>
    <row r="240" spans="1:15" x14ac:dyDescent="0.35">
      <c r="A240" s="2"/>
      <c r="B240" s="2"/>
      <c r="C240" s="23" t="s">
        <v>197</v>
      </c>
      <c r="D240" s="8">
        <v>0</v>
      </c>
      <c r="E240" s="8">
        <v>0</v>
      </c>
      <c r="F240" s="8">
        <v>57520</v>
      </c>
      <c r="G240" s="8">
        <v>0</v>
      </c>
      <c r="H240" s="9"/>
      <c r="I240" s="9"/>
      <c r="J240" s="9"/>
      <c r="K240" s="9"/>
      <c r="L240" s="9"/>
      <c r="M240" s="9"/>
      <c r="N240" s="9"/>
      <c r="O240" s="9"/>
    </row>
    <row r="241" spans="1:15" x14ac:dyDescent="0.35">
      <c r="A241" s="2"/>
      <c r="B241" s="2"/>
      <c r="C241" s="23" t="s">
        <v>199</v>
      </c>
      <c r="D241" s="8">
        <v>3300</v>
      </c>
      <c r="E241" s="8">
        <v>0</v>
      </c>
      <c r="F241" s="8">
        <v>3850</v>
      </c>
      <c r="G241" s="8">
        <v>0</v>
      </c>
      <c r="H241" s="9"/>
      <c r="I241" s="9"/>
      <c r="J241" s="9"/>
      <c r="K241" s="9"/>
      <c r="L241" s="9"/>
      <c r="M241" s="9"/>
      <c r="N241" s="9"/>
      <c r="O241" s="9"/>
    </row>
    <row r="242" spans="1:15" x14ac:dyDescent="0.35">
      <c r="A242" s="2"/>
      <c r="B242" s="2"/>
      <c r="C242" s="23" t="s">
        <v>201</v>
      </c>
      <c r="D242" s="8">
        <v>0</v>
      </c>
      <c r="E242" s="8">
        <v>0</v>
      </c>
      <c r="F242" s="8">
        <v>500</v>
      </c>
      <c r="G242" s="8">
        <v>0</v>
      </c>
      <c r="H242" s="9"/>
      <c r="I242" s="9"/>
      <c r="J242" s="9"/>
      <c r="K242" s="9"/>
      <c r="L242" s="9"/>
      <c r="M242" s="9"/>
      <c r="N242" s="9"/>
      <c r="O242" s="9"/>
    </row>
    <row r="243" spans="1:15" x14ac:dyDescent="0.35">
      <c r="A243" s="2"/>
      <c r="B243" s="2"/>
      <c r="C243" s="23" t="s">
        <v>202</v>
      </c>
      <c r="D243" s="8">
        <v>0</v>
      </c>
      <c r="E243" s="8">
        <v>0</v>
      </c>
      <c r="F243" s="8">
        <v>803</v>
      </c>
      <c r="G243" s="8">
        <v>0</v>
      </c>
      <c r="H243" s="9"/>
      <c r="I243" s="9"/>
      <c r="J243" s="9"/>
      <c r="K243" s="9"/>
      <c r="L243" s="9"/>
      <c r="M243" s="9"/>
      <c r="N243" s="9"/>
      <c r="O243" s="9"/>
    </row>
    <row r="244" spans="1:15" x14ac:dyDescent="0.35">
      <c r="A244" s="2"/>
      <c r="B244" s="2"/>
      <c r="C244" s="23" t="s">
        <v>205</v>
      </c>
      <c r="D244" s="8">
        <v>19486.89</v>
      </c>
      <c r="E244" s="8">
        <v>10466.450000000001</v>
      </c>
      <c r="F244" s="8">
        <v>63807.45</v>
      </c>
      <c r="G244" s="8">
        <v>19361.89</v>
      </c>
      <c r="H244" s="9"/>
      <c r="I244" s="9"/>
      <c r="J244" s="9"/>
      <c r="K244" s="9"/>
      <c r="L244" s="9"/>
      <c r="M244" s="9"/>
      <c r="N244" s="9"/>
      <c r="O244" s="9"/>
    </row>
    <row r="245" spans="1:15" x14ac:dyDescent="0.35">
      <c r="A245" s="2"/>
      <c r="B245" s="2"/>
      <c r="C245" s="23" t="s">
        <v>206</v>
      </c>
      <c r="D245" s="8">
        <v>93923.1</v>
      </c>
      <c r="E245" s="8">
        <v>4137</v>
      </c>
      <c r="F245" s="8">
        <v>4137</v>
      </c>
      <c r="G245" s="8">
        <v>119301</v>
      </c>
      <c r="H245" s="9"/>
      <c r="I245" s="9"/>
      <c r="J245" s="9"/>
      <c r="K245" s="9"/>
      <c r="L245" s="9"/>
      <c r="M245" s="9"/>
      <c r="N245" s="9"/>
      <c r="O245" s="9"/>
    </row>
    <row r="246" spans="1:15" x14ac:dyDescent="0.35">
      <c r="A246" s="2"/>
      <c r="B246" s="2"/>
      <c r="C246" s="23" t="s">
        <v>207</v>
      </c>
      <c r="D246" s="8">
        <v>654114</v>
      </c>
      <c r="E246" s="8">
        <v>293540</v>
      </c>
      <c r="F246" s="8">
        <v>54910</v>
      </c>
      <c r="G246" s="8">
        <v>27220</v>
      </c>
      <c r="H246" s="9"/>
      <c r="I246" s="9"/>
      <c r="J246" s="9"/>
      <c r="K246" s="9"/>
      <c r="L246" s="9"/>
      <c r="M246" s="9"/>
      <c r="N246" s="9"/>
      <c r="O246" s="9"/>
    </row>
    <row r="247" spans="1:15" x14ac:dyDescent="0.35">
      <c r="A247" s="2"/>
      <c r="B247" s="2"/>
      <c r="C247" s="23" t="s">
        <v>208</v>
      </c>
      <c r="D247" s="8">
        <v>1520225</v>
      </c>
      <c r="E247" s="8">
        <v>1520225</v>
      </c>
      <c r="F247" s="8">
        <v>1520225</v>
      </c>
      <c r="G247" s="8">
        <v>0</v>
      </c>
      <c r="H247" s="9"/>
      <c r="I247" s="9"/>
      <c r="J247" s="9"/>
      <c r="K247" s="9"/>
      <c r="L247" s="9"/>
      <c r="M247" s="9"/>
      <c r="N247" s="9"/>
      <c r="O247" s="9"/>
    </row>
    <row r="248" spans="1:15" x14ac:dyDescent="0.35">
      <c r="A248" s="2"/>
      <c r="B248" s="2"/>
      <c r="C248" s="23" t="s">
        <v>210</v>
      </c>
      <c r="D248" s="8">
        <v>47821.9</v>
      </c>
      <c r="E248" s="8">
        <v>16877.48</v>
      </c>
      <c r="F248" s="8">
        <v>27475.73</v>
      </c>
      <c r="G248" s="8">
        <v>11272.7</v>
      </c>
      <c r="H248" s="9"/>
      <c r="I248" s="9"/>
      <c r="J248" s="9"/>
      <c r="K248" s="9"/>
      <c r="L248" s="9"/>
      <c r="M248" s="9"/>
      <c r="N248" s="9"/>
      <c r="O248" s="9"/>
    </row>
    <row r="249" spans="1:15" x14ac:dyDescent="0.35">
      <c r="A249" s="2"/>
      <c r="B249" s="2"/>
      <c r="C249" s="23" t="s">
        <v>211</v>
      </c>
      <c r="D249" s="8">
        <v>24951.919999999998</v>
      </c>
      <c r="E249" s="8">
        <v>8035.81</v>
      </c>
      <c r="F249" s="8">
        <v>13973.32</v>
      </c>
      <c r="G249" s="8">
        <v>8479.7199999999993</v>
      </c>
      <c r="H249" s="9"/>
      <c r="I249" s="9"/>
      <c r="J249" s="9"/>
      <c r="K249" s="9"/>
      <c r="L249" s="9"/>
      <c r="M249" s="9"/>
      <c r="N249" s="9"/>
      <c r="O249" s="9"/>
    </row>
    <row r="250" spans="1:15" x14ac:dyDescent="0.35">
      <c r="A250" s="2"/>
      <c r="B250" s="2"/>
      <c r="C250" s="23" t="s">
        <v>212</v>
      </c>
      <c r="D250" s="8">
        <v>8000</v>
      </c>
      <c r="E250" s="8">
        <v>4000</v>
      </c>
      <c r="F250" s="8">
        <v>4000</v>
      </c>
      <c r="G250" s="8">
        <v>0</v>
      </c>
      <c r="H250" s="9"/>
      <c r="I250" s="9"/>
      <c r="J250" s="9"/>
      <c r="K250" s="9"/>
      <c r="L250" s="9"/>
      <c r="M250" s="9"/>
      <c r="N250" s="9"/>
      <c r="O250" s="9"/>
    </row>
    <row r="251" spans="1:15" x14ac:dyDescent="0.35">
      <c r="A251" s="2"/>
      <c r="B251" s="2"/>
      <c r="C251" s="23" t="s">
        <v>214</v>
      </c>
      <c r="D251" s="8">
        <v>13854.56</v>
      </c>
      <c r="E251" s="8">
        <v>27479</v>
      </c>
      <c r="F251" s="8">
        <v>26238.52</v>
      </c>
      <c r="G251" s="8">
        <v>630</v>
      </c>
      <c r="H251" s="9"/>
      <c r="I251" s="9"/>
      <c r="J251" s="9"/>
      <c r="K251" s="9"/>
      <c r="L251" s="9"/>
      <c r="M251" s="9"/>
      <c r="N251" s="9"/>
      <c r="O251" s="9"/>
    </row>
    <row r="252" spans="1:15" x14ac:dyDescent="0.35">
      <c r="A252" s="2"/>
      <c r="B252" s="2"/>
      <c r="C252" s="23" t="s">
        <v>216</v>
      </c>
      <c r="D252" s="8">
        <v>358528</v>
      </c>
      <c r="E252" s="8">
        <v>150835</v>
      </c>
      <c r="F252" s="8">
        <v>89527</v>
      </c>
      <c r="G252" s="8">
        <v>9823.5</v>
      </c>
      <c r="H252" s="9"/>
      <c r="I252" s="9"/>
      <c r="J252" s="9"/>
      <c r="K252" s="9"/>
      <c r="L252" s="9"/>
      <c r="M252" s="9"/>
      <c r="N252" s="9"/>
      <c r="O252" s="9"/>
    </row>
    <row r="253" spans="1:15" x14ac:dyDescent="0.35">
      <c r="A253" s="2"/>
      <c r="B253" s="2"/>
      <c r="C253" s="23" t="s">
        <v>217</v>
      </c>
      <c r="D253" s="8">
        <v>0</v>
      </c>
      <c r="E253" s="8">
        <v>33.6</v>
      </c>
      <c r="F253" s="8">
        <v>33.6</v>
      </c>
      <c r="G253" s="8">
        <v>0</v>
      </c>
      <c r="H253" s="9"/>
      <c r="I253" s="9"/>
      <c r="J253" s="9"/>
      <c r="K253" s="9"/>
      <c r="L253" s="9"/>
      <c r="M253" s="9"/>
      <c r="N253" s="9"/>
      <c r="O253" s="9"/>
    </row>
    <row r="254" spans="1:15" x14ac:dyDescent="0.35">
      <c r="A254" s="2"/>
      <c r="B254" s="2"/>
      <c r="C254" s="23" t="s">
        <v>219</v>
      </c>
      <c r="D254" s="8">
        <v>29699</v>
      </c>
      <c r="E254" s="8">
        <v>32202.28</v>
      </c>
      <c r="F254" s="8">
        <v>35793</v>
      </c>
      <c r="G254" s="8">
        <v>31955</v>
      </c>
      <c r="H254" s="9"/>
      <c r="I254" s="9"/>
      <c r="J254" s="9"/>
      <c r="K254" s="9"/>
      <c r="L254" s="9"/>
      <c r="M254" s="9"/>
      <c r="N254" s="9"/>
      <c r="O254" s="9"/>
    </row>
    <row r="255" spans="1:15" x14ac:dyDescent="0.35">
      <c r="A255" s="2"/>
      <c r="B255" s="2"/>
      <c r="C255" s="23" t="s">
        <v>220</v>
      </c>
      <c r="D255" s="8">
        <v>24091</v>
      </c>
      <c r="E255" s="8">
        <v>25259</v>
      </c>
      <c r="F255" s="8">
        <v>23979</v>
      </c>
      <c r="G255" s="8">
        <v>0</v>
      </c>
      <c r="H255" s="9"/>
      <c r="I255" s="9"/>
      <c r="J255" s="9"/>
      <c r="K255" s="9"/>
      <c r="L255" s="9"/>
      <c r="M255" s="9"/>
      <c r="N255" s="9"/>
      <c r="O255" s="9"/>
    </row>
    <row r="256" spans="1:15" x14ac:dyDescent="0.35">
      <c r="A256" s="2"/>
      <c r="B256" s="2"/>
      <c r="C256" s="23" t="s">
        <v>221</v>
      </c>
      <c r="D256" s="8">
        <v>176032.78</v>
      </c>
      <c r="E256" s="8">
        <v>0</v>
      </c>
      <c r="F256" s="8">
        <v>604620</v>
      </c>
      <c r="G256" s="8">
        <v>0</v>
      </c>
      <c r="H256" s="9"/>
      <c r="I256" s="9"/>
      <c r="J256" s="9"/>
      <c r="K256" s="9"/>
      <c r="L256" s="9"/>
      <c r="M256" s="9"/>
      <c r="N256" s="9"/>
      <c r="O256" s="9"/>
    </row>
    <row r="257" spans="1:16" x14ac:dyDescent="0.35">
      <c r="A257" s="2"/>
      <c r="B257" s="2"/>
      <c r="C257" s="23" t="s">
        <v>222</v>
      </c>
      <c r="D257" s="8">
        <v>1431.1</v>
      </c>
      <c r="E257" s="8">
        <v>630.1</v>
      </c>
      <c r="F257" s="8">
        <v>10348.700000000001</v>
      </c>
      <c r="G257" s="8">
        <v>11695.6</v>
      </c>
      <c r="H257" s="9"/>
      <c r="I257" s="9"/>
      <c r="J257" s="9"/>
      <c r="K257" s="9"/>
      <c r="L257" s="9"/>
      <c r="M257" s="9"/>
      <c r="N257" s="9"/>
      <c r="O257" s="9"/>
    </row>
    <row r="258" spans="1:16" x14ac:dyDescent="0.35">
      <c r="A258" s="2"/>
      <c r="B258" s="2"/>
      <c r="C258" s="23" t="s">
        <v>223</v>
      </c>
      <c r="D258" s="8">
        <v>98300</v>
      </c>
      <c r="E258" s="8">
        <v>30876.18</v>
      </c>
      <c r="F258" s="8">
        <v>5000</v>
      </c>
      <c r="G258" s="8">
        <v>20650</v>
      </c>
      <c r="H258" s="9"/>
      <c r="I258" s="9"/>
      <c r="J258" s="9"/>
      <c r="K258" s="9"/>
      <c r="L258" s="9"/>
      <c r="M258" s="9"/>
      <c r="N258" s="9"/>
      <c r="O258" s="9"/>
    </row>
    <row r="259" spans="1:16" x14ac:dyDescent="0.35">
      <c r="A259" s="2"/>
      <c r="B259" s="2"/>
      <c r="C259" s="23" t="s">
        <v>224</v>
      </c>
      <c r="D259" s="8">
        <v>274280</v>
      </c>
      <c r="E259" s="8">
        <v>1660</v>
      </c>
      <c r="F259" s="8">
        <v>0</v>
      </c>
      <c r="G259" s="8">
        <v>0</v>
      </c>
      <c r="H259" s="9"/>
      <c r="I259" s="9"/>
      <c r="J259" s="9"/>
      <c r="K259" s="9"/>
      <c r="L259" s="9"/>
      <c r="M259" s="9"/>
      <c r="N259" s="9"/>
      <c r="O259" s="9"/>
    </row>
    <row r="260" spans="1:16" x14ac:dyDescent="0.35">
      <c r="A260" s="2"/>
      <c r="B260" s="2"/>
      <c r="C260" s="23" t="s">
        <v>225</v>
      </c>
      <c r="D260" s="8">
        <v>15889.87</v>
      </c>
      <c r="E260" s="8">
        <v>5017.1000000000004</v>
      </c>
      <c r="F260" s="8">
        <v>18451.45</v>
      </c>
      <c r="G260" s="8">
        <v>391060</v>
      </c>
      <c r="H260" s="9"/>
      <c r="I260" s="9"/>
      <c r="J260" s="9"/>
      <c r="K260" s="9"/>
      <c r="L260" s="9"/>
      <c r="M260" s="9"/>
      <c r="N260" s="9"/>
      <c r="O260" s="9"/>
    </row>
    <row r="261" spans="1:16" x14ac:dyDescent="0.35">
      <c r="A261" s="2"/>
      <c r="B261" s="2"/>
      <c r="C261" s="23" t="s">
        <v>226</v>
      </c>
      <c r="D261" s="8">
        <v>9000</v>
      </c>
      <c r="E261" s="8">
        <v>170000</v>
      </c>
      <c r="F261" s="8">
        <v>405596.8</v>
      </c>
      <c r="G261" s="8">
        <v>160833</v>
      </c>
      <c r="H261" s="9"/>
      <c r="I261" s="9"/>
      <c r="J261" s="9"/>
      <c r="K261" s="9"/>
      <c r="L261" s="9"/>
      <c r="M261" s="9"/>
      <c r="N261" s="9"/>
      <c r="O261" s="9"/>
    </row>
    <row r="262" spans="1:16" x14ac:dyDescent="0.35">
      <c r="A262" s="2"/>
      <c r="B262" s="2"/>
      <c r="C262" s="23" t="s">
        <v>228</v>
      </c>
      <c r="D262" s="8">
        <v>5420.5</v>
      </c>
      <c r="E262" s="8">
        <v>0</v>
      </c>
      <c r="F262" s="8">
        <v>0</v>
      </c>
      <c r="G262" s="8">
        <v>1802.5</v>
      </c>
      <c r="H262" s="9"/>
      <c r="I262" s="9"/>
      <c r="J262" s="9"/>
      <c r="K262" s="9"/>
      <c r="L262" s="9"/>
      <c r="M262" s="9"/>
      <c r="N262" s="9"/>
      <c r="O262" s="9"/>
    </row>
    <row r="263" spans="1:16" x14ac:dyDescent="0.35">
      <c r="A263" s="2"/>
      <c r="B263" s="2"/>
      <c r="C263" s="23" t="s">
        <v>229</v>
      </c>
      <c r="D263" s="8">
        <v>0</v>
      </c>
      <c r="E263" s="8">
        <v>0</v>
      </c>
      <c r="F263" s="8">
        <v>0</v>
      </c>
      <c r="G263" s="8">
        <v>-650000</v>
      </c>
      <c r="H263" s="9"/>
      <c r="I263" s="9"/>
      <c r="J263" s="9"/>
      <c r="K263" s="9"/>
      <c r="L263" s="9"/>
      <c r="M263" s="9"/>
      <c r="N263" s="9"/>
      <c r="O263" s="9"/>
    </row>
    <row r="264" spans="1:16" x14ac:dyDescent="0.35">
      <c r="A264" s="2"/>
      <c r="B264" s="2"/>
      <c r="C264" s="23" t="s">
        <v>230</v>
      </c>
      <c r="D264" s="8">
        <v>63100</v>
      </c>
      <c r="E264" s="8">
        <v>105632.5</v>
      </c>
      <c r="F264" s="8">
        <v>58472.800000000003</v>
      </c>
      <c r="G264" s="8">
        <v>65486.9</v>
      </c>
      <c r="H264" s="9"/>
      <c r="I264" s="9"/>
      <c r="J264" s="9"/>
      <c r="K264" s="9"/>
      <c r="L264" s="9"/>
      <c r="M264" s="9"/>
      <c r="N264" s="9"/>
      <c r="O264" s="9"/>
    </row>
    <row r="265" spans="1:16" x14ac:dyDescent="0.35">
      <c r="A265" s="2"/>
      <c r="B265" s="2"/>
      <c r="C265" s="23" t="s">
        <v>231</v>
      </c>
      <c r="D265" s="8">
        <v>140314.4</v>
      </c>
      <c r="E265" s="8">
        <v>304299.88</v>
      </c>
      <c r="F265" s="8">
        <v>906191.97</v>
      </c>
      <c r="G265" s="8">
        <v>47700</v>
      </c>
      <c r="H265" s="9"/>
      <c r="I265" s="9"/>
      <c r="J265" s="9"/>
      <c r="K265" s="9"/>
      <c r="L265" s="9"/>
      <c r="M265" s="9"/>
      <c r="N265" s="9"/>
      <c r="O265" s="9"/>
    </row>
    <row r="266" spans="1:16" x14ac:dyDescent="0.35">
      <c r="A266" s="2"/>
      <c r="B266" s="2"/>
      <c r="C266" s="23" t="s">
        <v>233</v>
      </c>
      <c r="D266" s="8">
        <v>60000</v>
      </c>
      <c r="E266" s="8">
        <v>60000</v>
      </c>
      <c r="F266" s="8">
        <v>60000</v>
      </c>
      <c r="G266" s="8">
        <v>0</v>
      </c>
      <c r="H266" s="9"/>
      <c r="I266" s="9"/>
      <c r="J266" s="9"/>
      <c r="K266" s="9"/>
      <c r="L266" s="9"/>
      <c r="M266" s="9"/>
      <c r="N266" s="9"/>
      <c r="O266" s="9"/>
    </row>
    <row r="267" spans="1:16" x14ac:dyDescent="0.35">
      <c r="A267" s="2"/>
      <c r="B267" s="2"/>
      <c r="C267" s="23" t="s">
        <v>236</v>
      </c>
      <c r="D267" s="8">
        <v>24902</v>
      </c>
      <c r="E267" s="8">
        <v>26892.5</v>
      </c>
      <c r="F267" s="8">
        <v>21169</v>
      </c>
      <c r="G267" s="8">
        <v>59639</v>
      </c>
      <c r="H267" s="9"/>
      <c r="I267" s="9"/>
      <c r="J267" s="9"/>
      <c r="K267" s="9"/>
      <c r="L267" s="9"/>
      <c r="M267" s="9"/>
      <c r="N267" s="9"/>
      <c r="O267" s="9"/>
    </row>
    <row r="268" spans="1:16" x14ac:dyDescent="0.35">
      <c r="A268" s="2"/>
      <c r="B268" s="2"/>
      <c r="C268" s="23" t="s">
        <v>237</v>
      </c>
      <c r="D268" s="8">
        <v>2880</v>
      </c>
      <c r="E268" s="8">
        <v>4838</v>
      </c>
      <c r="F268" s="8">
        <v>3910</v>
      </c>
      <c r="G268" s="8">
        <v>0</v>
      </c>
      <c r="H268" s="9"/>
      <c r="I268" s="9"/>
      <c r="J268" s="9"/>
      <c r="K268" s="9"/>
      <c r="L268" s="9"/>
      <c r="M268" s="9"/>
      <c r="N268" s="9"/>
      <c r="O268" s="9"/>
      <c r="P268">
        <v>-1</v>
      </c>
    </row>
    <row r="269" spans="1:16" x14ac:dyDescent="0.35">
      <c r="A269" s="2"/>
      <c r="B269" s="2"/>
      <c r="C269" s="23" t="s">
        <v>238</v>
      </c>
      <c r="D269" s="8">
        <v>228482.28</v>
      </c>
      <c r="E269" s="8">
        <v>202097.48</v>
      </c>
      <c r="F269" s="8">
        <v>128403.14</v>
      </c>
      <c r="G269" s="8">
        <v>118357.55</v>
      </c>
      <c r="H269" s="9"/>
      <c r="I269" s="9"/>
      <c r="J269" s="9"/>
      <c r="K269" s="9"/>
      <c r="L269" s="9"/>
      <c r="M269" s="9"/>
      <c r="N269" s="9"/>
      <c r="O269" s="9"/>
    </row>
    <row r="270" spans="1:16" x14ac:dyDescent="0.35">
      <c r="A270" s="2"/>
      <c r="B270" s="2"/>
      <c r="C270" s="23" t="s">
        <v>239</v>
      </c>
      <c r="D270" s="8">
        <v>18100</v>
      </c>
      <c r="E270" s="8">
        <v>13595.94</v>
      </c>
      <c r="F270" s="8">
        <v>22002.89</v>
      </c>
      <c r="G270" s="8">
        <v>10206.870000000001</v>
      </c>
      <c r="H270" s="9"/>
      <c r="I270" s="9"/>
      <c r="J270" s="9"/>
      <c r="K270" s="9"/>
      <c r="L270" s="9"/>
      <c r="M270" s="9"/>
      <c r="N270" s="9"/>
      <c r="O270" s="9"/>
    </row>
    <row r="271" spans="1:16" x14ac:dyDescent="0.35">
      <c r="A271" s="2"/>
      <c r="B271" s="2"/>
      <c r="C271" s="23" t="s">
        <v>240</v>
      </c>
      <c r="D271" s="8">
        <v>0</v>
      </c>
      <c r="E271" s="8">
        <v>0</v>
      </c>
      <c r="F271" s="8">
        <v>-2618681</v>
      </c>
      <c r="G271" s="8">
        <v>-13058199.09</v>
      </c>
      <c r="H271" s="9"/>
      <c r="I271" s="9"/>
      <c r="J271" s="9"/>
      <c r="K271" s="9"/>
      <c r="L271" s="9"/>
      <c r="M271" s="9"/>
      <c r="N271" s="9"/>
      <c r="O271" s="9"/>
    </row>
    <row r="272" spans="1:16" x14ac:dyDescent="0.35">
      <c r="A272" s="2"/>
      <c r="B272" s="2"/>
      <c r="C272" s="23" t="s">
        <v>241</v>
      </c>
      <c r="D272" s="8">
        <v>0</v>
      </c>
      <c r="E272" s="8">
        <v>0</v>
      </c>
      <c r="F272" s="8">
        <v>2078</v>
      </c>
      <c r="G272" s="8">
        <v>0</v>
      </c>
      <c r="H272" s="9"/>
      <c r="I272" s="9"/>
      <c r="J272" s="9"/>
      <c r="K272" s="9"/>
      <c r="L272" s="9"/>
      <c r="M272" s="9"/>
      <c r="N272" s="9"/>
      <c r="O272" s="9"/>
    </row>
    <row r="273" spans="1:15" x14ac:dyDescent="0.35">
      <c r="A273" s="2"/>
      <c r="B273" s="2"/>
      <c r="C273" s="23" t="s">
        <v>244</v>
      </c>
      <c r="D273" s="8">
        <v>525</v>
      </c>
      <c r="E273" s="8">
        <v>3400</v>
      </c>
      <c r="F273" s="8">
        <v>0</v>
      </c>
      <c r="G273" s="8">
        <v>53750</v>
      </c>
      <c r="H273" s="9"/>
      <c r="I273" s="9"/>
      <c r="J273" s="9"/>
      <c r="K273" s="9"/>
      <c r="L273" s="9"/>
      <c r="M273" s="9"/>
      <c r="N273" s="9"/>
      <c r="O273" s="9"/>
    </row>
    <row r="274" spans="1:15" x14ac:dyDescent="0.35">
      <c r="A274" s="2"/>
      <c r="B274" s="2"/>
      <c r="C274" s="23" t="s">
        <v>245</v>
      </c>
      <c r="D274" s="8">
        <v>528188.92000000004</v>
      </c>
      <c r="E274" s="8">
        <v>24056.89</v>
      </c>
      <c r="F274" s="8">
        <v>83130</v>
      </c>
      <c r="G274" s="8">
        <v>11117</v>
      </c>
      <c r="H274" s="9"/>
      <c r="I274" s="9"/>
      <c r="J274" s="9"/>
      <c r="K274" s="9"/>
      <c r="L274" s="9"/>
      <c r="M274" s="9"/>
      <c r="N274" s="9"/>
      <c r="O274" s="9"/>
    </row>
    <row r="275" spans="1:15" x14ac:dyDescent="0.35">
      <c r="A275" s="2"/>
      <c r="B275" s="2"/>
      <c r="C275" s="23" t="s">
        <v>247</v>
      </c>
      <c r="D275" s="8">
        <v>10.56</v>
      </c>
      <c r="E275" s="8">
        <v>7.22</v>
      </c>
      <c r="F275" s="8">
        <v>7.13</v>
      </c>
      <c r="G275" s="8">
        <v>-53.11</v>
      </c>
      <c r="H275" s="9"/>
      <c r="I275" s="9"/>
      <c r="J275" s="9"/>
      <c r="K275" s="9"/>
      <c r="L275" s="9"/>
      <c r="M275" s="9"/>
      <c r="N275" s="9"/>
      <c r="O275" s="9"/>
    </row>
    <row r="276" spans="1:15" x14ac:dyDescent="0.35">
      <c r="A276" s="2"/>
      <c r="B276" s="2"/>
      <c r="C276" s="23" t="s">
        <v>248</v>
      </c>
      <c r="D276" s="8">
        <v>270519.18</v>
      </c>
      <c r="E276" s="8">
        <v>251680.41</v>
      </c>
      <c r="F276" s="8">
        <v>266958.75</v>
      </c>
      <c r="G276" s="8">
        <v>0</v>
      </c>
      <c r="H276" s="9"/>
      <c r="I276" s="9"/>
      <c r="J276" s="9"/>
      <c r="K276" s="9"/>
      <c r="L276" s="9"/>
      <c r="M276" s="9"/>
      <c r="N276" s="9"/>
      <c r="O276" s="9"/>
    </row>
    <row r="277" spans="1:15" x14ac:dyDescent="0.35">
      <c r="A277" s="2"/>
      <c r="B277" s="2"/>
      <c r="C277" s="23" t="s">
        <v>252</v>
      </c>
      <c r="D277" s="8">
        <v>5610.5</v>
      </c>
      <c r="E277" s="8">
        <v>2866.5</v>
      </c>
      <c r="F277" s="8">
        <v>2272</v>
      </c>
      <c r="G277" s="8">
        <v>181</v>
      </c>
      <c r="H277" s="9"/>
      <c r="I277" s="9"/>
      <c r="J277" s="9"/>
      <c r="K277" s="9"/>
      <c r="L277" s="9"/>
      <c r="M277" s="9"/>
      <c r="N277" s="9"/>
      <c r="O277" s="9"/>
    </row>
    <row r="278" spans="1:15" x14ac:dyDescent="0.35">
      <c r="A278" s="2"/>
      <c r="B278" s="2"/>
      <c r="C278" s="23" t="s">
        <v>253</v>
      </c>
      <c r="D278" s="8">
        <v>17552</v>
      </c>
      <c r="E278" s="8">
        <v>103780.14</v>
      </c>
      <c r="F278" s="8">
        <v>13385</v>
      </c>
      <c r="G278" s="8">
        <v>4030</v>
      </c>
      <c r="H278" s="9"/>
      <c r="I278" s="9"/>
      <c r="J278" s="9"/>
      <c r="K278" s="9"/>
      <c r="L278" s="9"/>
      <c r="M278" s="9"/>
      <c r="N278" s="9"/>
      <c r="O278" s="9"/>
    </row>
    <row r="279" spans="1:15" x14ac:dyDescent="0.35">
      <c r="A279" s="2"/>
      <c r="B279" s="2"/>
      <c r="C279" s="23" t="s">
        <v>254</v>
      </c>
      <c r="D279" s="8">
        <v>0</v>
      </c>
      <c r="E279" s="8">
        <v>261938</v>
      </c>
      <c r="F279" s="8">
        <v>120923</v>
      </c>
      <c r="G279" s="8">
        <v>4093</v>
      </c>
      <c r="H279" s="9"/>
      <c r="I279" s="9"/>
      <c r="J279" s="9"/>
      <c r="K279" s="9"/>
      <c r="L279" s="9"/>
      <c r="M279" s="9"/>
      <c r="N279" s="9"/>
      <c r="O279" s="9"/>
    </row>
    <row r="280" spans="1:15" x14ac:dyDescent="0.35">
      <c r="A280" s="2"/>
      <c r="B280" s="2"/>
      <c r="C280" s="23" t="s">
        <v>255</v>
      </c>
      <c r="D280" s="8">
        <v>11052.42</v>
      </c>
      <c r="E280" s="8">
        <v>7424</v>
      </c>
      <c r="F280" s="8">
        <v>19011.5</v>
      </c>
      <c r="G280" s="8">
        <v>6693</v>
      </c>
      <c r="H280" s="9"/>
      <c r="I280" s="9"/>
      <c r="J280" s="9"/>
      <c r="K280" s="9"/>
      <c r="L280" s="9"/>
      <c r="M280" s="9"/>
      <c r="N280" s="9"/>
      <c r="O280" s="9"/>
    </row>
    <row r="281" spans="1:15" x14ac:dyDescent="0.35">
      <c r="A281" s="2"/>
      <c r="B281" s="2"/>
      <c r="C281" s="23" t="s">
        <v>256</v>
      </c>
      <c r="D281" s="8">
        <v>27619.919999999998</v>
      </c>
      <c r="E281" s="8">
        <v>48314.47</v>
      </c>
      <c r="F281" s="8">
        <v>5550</v>
      </c>
      <c r="G281" s="8">
        <v>0</v>
      </c>
      <c r="H281" s="9"/>
      <c r="I281" s="9"/>
      <c r="J281" s="9"/>
      <c r="K281" s="9"/>
      <c r="L281" s="9"/>
      <c r="M281" s="9"/>
      <c r="N281" s="9"/>
      <c r="O281" s="9"/>
    </row>
    <row r="282" spans="1:15" x14ac:dyDescent="0.35">
      <c r="A282" s="2"/>
      <c r="B282" s="2"/>
      <c r="C282" s="23" t="s">
        <v>257</v>
      </c>
      <c r="D282" s="8">
        <v>5789.09</v>
      </c>
      <c r="E282" s="8">
        <v>1450</v>
      </c>
      <c r="F282" s="8">
        <v>2992.96</v>
      </c>
      <c r="G282" s="8">
        <v>3246.47</v>
      </c>
      <c r="H282" s="9"/>
      <c r="I282" s="9"/>
      <c r="J282" s="9"/>
      <c r="K282" s="9"/>
      <c r="L282" s="9"/>
      <c r="M282" s="9"/>
      <c r="N282" s="9"/>
      <c r="O282" s="9"/>
    </row>
    <row r="283" spans="1:15" x14ac:dyDescent="0.35">
      <c r="A283" s="2"/>
      <c r="B283" s="2"/>
      <c r="C283" s="23" t="s">
        <v>258</v>
      </c>
      <c r="D283" s="8">
        <v>0</v>
      </c>
      <c r="E283" s="8">
        <v>0</v>
      </c>
      <c r="F283" s="8">
        <v>3723459</v>
      </c>
      <c r="G283" s="8">
        <v>0</v>
      </c>
      <c r="H283" s="9"/>
      <c r="I283" s="9"/>
      <c r="J283" s="9"/>
      <c r="K283" s="9"/>
      <c r="L283" s="9"/>
      <c r="M283" s="9"/>
      <c r="N283" s="9"/>
      <c r="O283" s="9"/>
    </row>
    <row r="284" spans="1:15" x14ac:dyDescent="0.35">
      <c r="A284" s="2"/>
      <c r="B284" s="2"/>
      <c r="C284" s="23" t="s">
        <v>261</v>
      </c>
      <c r="D284" s="8">
        <v>0</v>
      </c>
      <c r="E284" s="8">
        <v>0</v>
      </c>
      <c r="F284" s="8">
        <v>-16081800</v>
      </c>
      <c r="G284" s="8">
        <v>0</v>
      </c>
      <c r="H284" s="9"/>
      <c r="I284" s="9"/>
      <c r="J284" s="9"/>
      <c r="K284" s="9"/>
      <c r="L284" s="9"/>
      <c r="M284" s="9"/>
      <c r="N284" s="9"/>
      <c r="O284" s="9"/>
    </row>
    <row r="285" spans="1:15" x14ac:dyDescent="0.35">
      <c r="A285" s="2"/>
      <c r="B285" s="2"/>
      <c r="C285" s="23" t="s">
        <v>262</v>
      </c>
      <c r="D285" s="8">
        <v>0</v>
      </c>
      <c r="E285" s="8">
        <v>17928</v>
      </c>
      <c r="F285" s="8">
        <v>233163</v>
      </c>
      <c r="G285" s="8">
        <v>0</v>
      </c>
      <c r="H285" s="9"/>
      <c r="I285" s="9"/>
      <c r="J285" s="9"/>
      <c r="K285" s="9"/>
      <c r="L285" s="9"/>
      <c r="M285" s="9"/>
      <c r="N285" s="9"/>
      <c r="O285" s="9"/>
    </row>
    <row r="286" spans="1:15" x14ac:dyDescent="0.35">
      <c r="A286" s="2"/>
      <c r="B286" s="2"/>
      <c r="C286" s="35" t="s">
        <v>436</v>
      </c>
      <c r="D286" s="40">
        <f>SUM(D190:D285)</f>
        <v>5439254.3599999994</v>
      </c>
      <c r="E286" s="40">
        <f t="shared" ref="E286:O286" si="18">SUM(E190:E285)</f>
        <v>5536198.6199999992</v>
      </c>
      <c r="F286" s="40">
        <f t="shared" si="18"/>
        <v>-6720888.6400000006</v>
      </c>
      <c r="G286" s="40">
        <f t="shared" si="18"/>
        <v>-18253459.5</v>
      </c>
      <c r="H286" s="40">
        <f t="shared" si="18"/>
        <v>8218877.5299999993</v>
      </c>
      <c r="I286" s="40">
        <f t="shared" si="18"/>
        <v>4241019.0000000009</v>
      </c>
      <c r="J286" s="40">
        <f t="shared" si="18"/>
        <v>4313529.5699999994</v>
      </c>
      <c r="K286" s="40">
        <f t="shared" si="18"/>
        <v>4209032.74</v>
      </c>
      <c r="L286" s="40">
        <f t="shared" si="18"/>
        <v>3861747.88</v>
      </c>
      <c r="M286" s="40">
        <f t="shared" si="18"/>
        <v>4478950.91</v>
      </c>
      <c r="N286" s="40">
        <f t="shared" si="18"/>
        <v>25538608.580000002</v>
      </c>
      <c r="O286" s="40">
        <f t="shared" si="18"/>
        <v>7814177.0199999996</v>
      </c>
    </row>
    <row r="287" spans="1:15" x14ac:dyDescent="0.35">
      <c r="A287" s="2"/>
      <c r="B287" s="2"/>
      <c r="C287" s="2"/>
      <c r="D287" s="2"/>
      <c r="E287" s="2"/>
      <c r="F287" s="2"/>
      <c r="G287" s="2"/>
      <c r="H287" s="9"/>
      <c r="I287" s="9"/>
      <c r="J287" s="9"/>
      <c r="K287" s="9"/>
      <c r="L287" s="9"/>
      <c r="M287" s="9"/>
      <c r="N287" s="9"/>
      <c r="O287" s="9"/>
    </row>
    <row r="288" spans="1:15" x14ac:dyDescent="0.35">
      <c r="A288" s="2"/>
      <c r="B288" s="2"/>
      <c r="C288" s="37" t="s">
        <v>333</v>
      </c>
      <c r="D288" s="42">
        <f t="shared" ref="D288:O288" si="19">-SUM(D147,D160,D188,D286)</f>
        <v>-111403799.30999997</v>
      </c>
      <c r="E288" s="42">
        <f t="shared" si="19"/>
        <v>-91306389.870000005</v>
      </c>
      <c r="F288" s="42">
        <f t="shared" si="19"/>
        <v>-110229023.24999999</v>
      </c>
      <c r="G288" s="42">
        <f t="shared" si="19"/>
        <v>-57926462.969999999</v>
      </c>
      <c r="H288" s="42">
        <f t="shared" si="19"/>
        <v>-114067785.35000001</v>
      </c>
      <c r="I288" s="42">
        <f t="shared" si="19"/>
        <v>-94579923.570000023</v>
      </c>
      <c r="J288" s="42">
        <f t="shared" si="19"/>
        <v>-87025721.809999987</v>
      </c>
      <c r="K288" s="42">
        <f t="shared" si="19"/>
        <v>-71759575.219999999</v>
      </c>
      <c r="L288" s="42">
        <f t="shared" si="19"/>
        <v>-87769900.800000027</v>
      </c>
      <c r="M288" s="42">
        <f t="shared" si="19"/>
        <v>-94147546.00999999</v>
      </c>
      <c r="N288" s="42">
        <f t="shared" si="19"/>
        <v>-124490401.92999996</v>
      </c>
      <c r="O288" s="42">
        <f t="shared" si="19"/>
        <v>-119461643.58999996</v>
      </c>
    </row>
    <row r="289" spans="1:17" x14ac:dyDescent="0.35">
      <c r="A289" s="2"/>
      <c r="B289" s="2"/>
      <c r="C289" s="2"/>
      <c r="D289" s="2"/>
      <c r="E289" s="2"/>
      <c r="F289" s="2"/>
      <c r="G289" s="2"/>
      <c r="H289" s="9"/>
      <c r="I289" s="9"/>
      <c r="J289" s="9"/>
      <c r="K289" s="9"/>
      <c r="L289" s="9"/>
      <c r="M289" s="9"/>
      <c r="N289" s="9"/>
      <c r="O289" s="9"/>
    </row>
    <row r="290" spans="1:17" x14ac:dyDescent="0.35">
      <c r="A290" s="2"/>
      <c r="B290" s="2"/>
      <c r="C290" s="4" t="s">
        <v>264</v>
      </c>
      <c r="D290" s="40">
        <f>D51+D288</f>
        <v>2582170.0100000203</v>
      </c>
      <c r="E290" s="40">
        <f t="shared" ref="E290:G290" si="20">E51+E288</f>
        <v>19558843.760000005</v>
      </c>
      <c r="F290" s="40">
        <f t="shared" si="20"/>
        <v>8906738.7099999934</v>
      </c>
      <c r="G290" s="40">
        <f t="shared" si="20"/>
        <v>62178948.909999996</v>
      </c>
      <c r="H290" s="40">
        <f t="shared" ref="H290:O290" si="21">H51+H288</f>
        <v>5613492.4399999976</v>
      </c>
      <c r="I290" s="40">
        <f t="shared" si="21"/>
        <v>2341267.9599999934</v>
      </c>
      <c r="J290" s="40">
        <f t="shared" si="21"/>
        <v>18235685.680000022</v>
      </c>
      <c r="K290" s="40">
        <f t="shared" si="21"/>
        <v>2633930.3900000006</v>
      </c>
      <c r="L290" s="40">
        <f t="shared" si="21"/>
        <v>14926913.109999955</v>
      </c>
      <c r="M290" s="40">
        <f t="shared" si="21"/>
        <v>6806272.3200000376</v>
      </c>
      <c r="N290" s="40">
        <f t="shared" si="21"/>
        <v>20792604.239999965</v>
      </c>
      <c r="O290" s="40">
        <f t="shared" si="21"/>
        <v>13564218.280000061</v>
      </c>
    </row>
    <row r="291" spans="1:17" x14ac:dyDescent="0.35">
      <c r="A291" s="2"/>
      <c r="B291" s="2"/>
      <c r="C291" s="2"/>
      <c r="D291" s="2"/>
      <c r="E291" s="2"/>
      <c r="F291" s="2"/>
      <c r="G291" s="2"/>
      <c r="H291" s="9"/>
      <c r="I291" s="9"/>
      <c r="J291" s="9"/>
      <c r="K291" s="9"/>
      <c r="L291" s="9"/>
      <c r="M291" s="9"/>
      <c r="N291" s="9"/>
      <c r="O291" s="9"/>
    </row>
    <row r="292" spans="1:17" x14ac:dyDescent="0.35">
      <c r="A292" s="2"/>
      <c r="B292" s="2" t="s">
        <v>560</v>
      </c>
      <c r="C292" s="34" t="s">
        <v>437</v>
      </c>
      <c r="D292" s="34"/>
      <c r="E292" s="34"/>
      <c r="F292" s="34"/>
      <c r="G292" s="34"/>
      <c r="H292" s="9">
        <v>297838.64</v>
      </c>
      <c r="I292" s="9">
        <v>296306.36</v>
      </c>
      <c r="J292" s="9">
        <v>284235.08999999997</v>
      </c>
      <c r="K292" s="9">
        <v>284235.06999999995</v>
      </c>
      <c r="L292" s="9">
        <v>284235.06000000006</v>
      </c>
      <c r="M292" s="9">
        <v>284235.09000000008</v>
      </c>
      <c r="N292" s="9">
        <v>284235.06000000006</v>
      </c>
      <c r="O292" s="9">
        <v>0</v>
      </c>
    </row>
    <row r="293" spans="1:17" x14ac:dyDescent="0.35">
      <c r="A293" s="23" t="s">
        <v>265</v>
      </c>
      <c r="B293" s="2" t="s">
        <v>561</v>
      </c>
      <c r="C293" s="34" t="s">
        <v>438</v>
      </c>
      <c r="D293" s="8">
        <v>2977555</v>
      </c>
      <c r="E293" s="8">
        <v>2977555</v>
      </c>
      <c r="F293" s="8">
        <v>2977555</v>
      </c>
      <c r="G293" s="8">
        <v>2977555</v>
      </c>
      <c r="H293" s="9">
        <v>2680088.65</v>
      </c>
      <c r="I293" s="9">
        <v>2485221.7200000002</v>
      </c>
      <c r="J293" s="9">
        <v>2517860.0999999996</v>
      </c>
      <c r="K293" s="9">
        <v>2478743.4900000012</v>
      </c>
      <c r="L293" s="9">
        <v>2471606.2399999984</v>
      </c>
      <c r="M293" s="9">
        <v>2497362.59</v>
      </c>
      <c r="N293" s="9">
        <v>2397444.2600000016</v>
      </c>
      <c r="O293" s="9">
        <v>0</v>
      </c>
    </row>
    <row r="294" spans="1:17" x14ac:dyDescent="0.35">
      <c r="A294" s="2"/>
      <c r="B294" s="2" t="s">
        <v>562</v>
      </c>
      <c r="C294" s="34" t="s">
        <v>439</v>
      </c>
      <c r="D294" s="34"/>
      <c r="E294" s="34"/>
      <c r="F294" s="34"/>
      <c r="G294" s="34"/>
      <c r="H294" s="9">
        <v>414453.23</v>
      </c>
      <c r="I294" s="9">
        <v>184554.64</v>
      </c>
      <c r="J294" s="9">
        <v>184554.59999999998</v>
      </c>
      <c r="K294" s="9">
        <v>184554.64</v>
      </c>
      <c r="L294" s="9">
        <v>183554.02999999991</v>
      </c>
      <c r="M294" s="9">
        <v>183554.06000000006</v>
      </c>
      <c r="N294" s="9">
        <v>183554.02000000002</v>
      </c>
      <c r="O294" s="9">
        <v>0</v>
      </c>
    </row>
    <row r="295" spans="1:17" x14ac:dyDescent="0.35">
      <c r="A295" s="2"/>
      <c r="B295" s="2" t="s">
        <v>563</v>
      </c>
      <c r="C295" s="34" t="s">
        <v>440</v>
      </c>
      <c r="D295" s="34"/>
      <c r="E295" s="34"/>
      <c r="F295" s="34"/>
      <c r="G295" s="34"/>
      <c r="H295" s="9">
        <v>311048.92</v>
      </c>
      <c r="I295" s="9">
        <v>286480.87000000005</v>
      </c>
      <c r="J295" s="9">
        <v>302535.67999999993</v>
      </c>
      <c r="K295" s="9">
        <v>315588.30000000005</v>
      </c>
      <c r="L295" s="9">
        <v>312071.66999999993</v>
      </c>
      <c r="M295" s="9">
        <v>341603.62000000011</v>
      </c>
      <c r="N295" s="9">
        <v>368292.75</v>
      </c>
      <c r="O295" s="9">
        <v>0</v>
      </c>
    </row>
    <row r="296" spans="1:17" x14ac:dyDescent="0.35">
      <c r="A296" s="2"/>
      <c r="B296" s="2"/>
      <c r="C296" s="4" t="s">
        <v>267</v>
      </c>
      <c r="D296" s="40">
        <f t="shared" ref="D296:O296" si="22">SUM(D292:D295)</f>
        <v>2977555</v>
      </c>
      <c r="E296" s="40">
        <f t="shared" si="22"/>
        <v>2977555</v>
      </c>
      <c r="F296" s="40">
        <f t="shared" si="22"/>
        <v>2977555</v>
      </c>
      <c r="G296" s="40">
        <f t="shared" si="22"/>
        <v>2977555</v>
      </c>
      <c r="H296" s="40">
        <f t="shared" si="22"/>
        <v>3703429.44</v>
      </c>
      <c r="I296" s="40">
        <f t="shared" si="22"/>
        <v>3252563.5900000003</v>
      </c>
      <c r="J296" s="40">
        <f t="shared" si="22"/>
        <v>3289185.4699999997</v>
      </c>
      <c r="K296" s="40">
        <f t="shared" si="22"/>
        <v>3263121.5000000009</v>
      </c>
      <c r="L296" s="40">
        <f t="shared" si="22"/>
        <v>3251466.9999999981</v>
      </c>
      <c r="M296" s="40">
        <f t="shared" si="22"/>
        <v>3306755.36</v>
      </c>
      <c r="N296" s="40">
        <f t="shared" si="22"/>
        <v>3233526.0900000017</v>
      </c>
      <c r="O296" s="40">
        <f t="shared" si="22"/>
        <v>0</v>
      </c>
    </row>
    <row r="297" spans="1:17" x14ac:dyDescent="0.35">
      <c r="A297" s="2"/>
      <c r="B297" s="2"/>
      <c r="C297" s="2"/>
      <c r="D297" s="2"/>
      <c r="E297" s="2"/>
      <c r="F297" s="2"/>
      <c r="G297" s="2"/>
      <c r="H297" s="9"/>
      <c r="I297" s="9"/>
      <c r="J297" s="9"/>
      <c r="K297" s="9"/>
      <c r="L297" s="9"/>
      <c r="M297" s="9"/>
      <c r="N297" s="9"/>
      <c r="O297" s="9"/>
    </row>
    <row r="298" spans="1:17" x14ac:dyDescent="0.35">
      <c r="A298" s="2"/>
      <c r="B298" s="2"/>
      <c r="C298" s="4" t="s">
        <v>268</v>
      </c>
      <c r="D298" s="40">
        <f t="shared" ref="D298:O298" si="23">D290-D296</f>
        <v>-395384.98999997973</v>
      </c>
      <c r="E298" s="40">
        <f t="shared" si="23"/>
        <v>16581288.760000005</v>
      </c>
      <c r="F298" s="40">
        <f t="shared" si="23"/>
        <v>5929183.7099999934</v>
      </c>
      <c r="G298" s="40">
        <f t="shared" si="23"/>
        <v>59201393.909999996</v>
      </c>
      <c r="H298" s="40">
        <f t="shared" si="23"/>
        <v>1910062.9999999977</v>
      </c>
      <c r="I298" s="40">
        <f t="shared" si="23"/>
        <v>-911295.63000000687</v>
      </c>
      <c r="J298" s="40">
        <f t="shared" si="23"/>
        <v>14946500.210000023</v>
      </c>
      <c r="K298" s="40">
        <f t="shared" si="23"/>
        <v>-629191.11000000034</v>
      </c>
      <c r="L298" s="40">
        <f t="shared" si="23"/>
        <v>11675446.109999957</v>
      </c>
      <c r="M298" s="40">
        <f t="shared" si="23"/>
        <v>3499516.9600000377</v>
      </c>
      <c r="N298" s="40">
        <f t="shared" si="23"/>
        <v>17559078.149999961</v>
      </c>
      <c r="O298" s="40">
        <f t="shared" si="23"/>
        <v>13564218.280000061</v>
      </c>
    </row>
    <row r="299" spans="1:17" x14ac:dyDescent="0.35">
      <c r="A299" s="2"/>
      <c r="B299" s="2"/>
      <c r="C299" s="2"/>
      <c r="D299" s="2"/>
      <c r="E299" s="2"/>
      <c r="F299" s="2"/>
      <c r="G299" s="2"/>
      <c r="H299" s="9"/>
      <c r="I299" s="9"/>
      <c r="J299" s="9"/>
      <c r="K299" s="9"/>
      <c r="L299" s="9"/>
      <c r="M299" s="9"/>
      <c r="N299" s="9"/>
      <c r="O299" s="9"/>
    </row>
    <row r="300" spans="1:17" x14ac:dyDescent="0.35">
      <c r="A300" s="2"/>
      <c r="B300" s="2"/>
      <c r="C300" s="2" t="s">
        <v>442</v>
      </c>
      <c r="D300" s="2"/>
      <c r="E300" s="2"/>
      <c r="F300" s="2"/>
      <c r="G300" s="2"/>
      <c r="H300" s="9">
        <v>0</v>
      </c>
      <c r="I300" s="9">
        <v>0</v>
      </c>
      <c r="J300" s="9">
        <v>0</v>
      </c>
      <c r="K300" s="9">
        <v>0</v>
      </c>
      <c r="L300" s="9">
        <v>0</v>
      </c>
      <c r="M300" s="9">
        <v>0</v>
      </c>
      <c r="N300" s="9">
        <v>0</v>
      </c>
      <c r="O300" s="9">
        <v>0</v>
      </c>
      <c r="Q300" s="12"/>
    </row>
    <row r="301" spans="1:17" x14ac:dyDescent="0.35">
      <c r="A301" s="2"/>
      <c r="B301" s="2"/>
      <c r="C301" s="4" t="s">
        <v>273</v>
      </c>
      <c r="D301" s="16">
        <v>0</v>
      </c>
      <c r="E301" s="16">
        <v>0</v>
      </c>
      <c r="F301" s="16">
        <v>0</v>
      </c>
      <c r="G301" s="16">
        <v>0</v>
      </c>
      <c r="H301" s="16">
        <v>0</v>
      </c>
      <c r="I301" s="16">
        <v>0</v>
      </c>
      <c r="J301" s="16">
        <v>0</v>
      </c>
      <c r="K301" s="16">
        <v>0</v>
      </c>
      <c r="L301" s="16">
        <v>0</v>
      </c>
      <c r="M301" s="16">
        <v>0</v>
      </c>
      <c r="N301" s="16">
        <v>0</v>
      </c>
      <c r="O301" s="16">
        <v>0</v>
      </c>
    </row>
    <row r="302" spans="1:17" x14ac:dyDescent="0.35">
      <c r="A302" s="2"/>
      <c r="B302" s="2"/>
      <c r="C302" s="2"/>
      <c r="D302" s="2"/>
      <c r="E302" s="2"/>
      <c r="F302" s="2"/>
      <c r="G302" s="2"/>
      <c r="H302" s="9"/>
      <c r="I302" s="9"/>
      <c r="J302" s="9"/>
      <c r="K302" s="9"/>
      <c r="L302" s="9"/>
      <c r="M302" s="9"/>
      <c r="N302" s="9"/>
      <c r="O302" s="9"/>
    </row>
    <row r="303" spans="1:17" x14ac:dyDescent="0.35">
      <c r="A303" s="2"/>
      <c r="B303" s="2"/>
      <c r="C303" s="2"/>
      <c r="D303" s="2"/>
      <c r="E303" s="2"/>
      <c r="F303" s="2"/>
      <c r="G303" s="2"/>
      <c r="H303" s="9"/>
      <c r="I303" s="9"/>
      <c r="J303" s="9"/>
      <c r="K303" s="9"/>
      <c r="L303" s="9"/>
      <c r="M303" s="9"/>
      <c r="N303" s="9"/>
      <c r="O303" s="9"/>
    </row>
    <row r="304" spans="1:17" x14ac:dyDescent="0.35">
      <c r="A304" s="2"/>
      <c r="B304" s="2"/>
      <c r="C304" s="4" t="s">
        <v>270</v>
      </c>
      <c r="D304" s="40">
        <f>D298-D301</f>
        <v>-395384.98999997973</v>
      </c>
      <c r="E304" s="40">
        <f t="shared" ref="E304:O304" si="24">E298-E301</f>
        <v>16581288.760000005</v>
      </c>
      <c r="F304" s="40">
        <f t="shared" si="24"/>
        <v>5929183.7099999934</v>
      </c>
      <c r="G304" s="40">
        <f t="shared" si="24"/>
        <v>59201393.909999996</v>
      </c>
      <c r="H304" s="40">
        <f t="shared" si="24"/>
        <v>1910062.9999999977</v>
      </c>
      <c r="I304" s="40">
        <f t="shared" si="24"/>
        <v>-911295.63000000687</v>
      </c>
      <c r="J304" s="40">
        <f t="shared" si="24"/>
        <v>14946500.210000023</v>
      </c>
      <c r="K304" s="40">
        <f t="shared" si="24"/>
        <v>-629191.11000000034</v>
      </c>
      <c r="L304" s="40">
        <f t="shared" si="24"/>
        <v>11675446.109999957</v>
      </c>
      <c r="M304" s="40">
        <f t="shared" si="24"/>
        <v>3499516.9600000377</v>
      </c>
      <c r="N304" s="40">
        <f t="shared" si="24"/>
        <v>17559078.149999961</v>
      </c>
      <c r="O304" s="40">
        <f t="shared" si="24"/>
        <v>13564218.280000061</v>
      </c>
    </row>
    <row r="305" spans="1:15" x14ac:dyDescent="0.35">
      <c r="A305" s="2"/>
      <c r="B305" s="2"/>
      <c r="C305" s="1"/>
      <c r="D305" s="1"/>
      <c r="E305" s="1"/>
      <c r="F305" s="1"/>
      <c r="G305" s="1"/>
      <c r="H305" s="9"/>
      <c r="I305" s="9"/>
      <c r="J305" s="9"/>
      <c r="K305" s="9"/>
      <c r="L305" s="9"/>
      <c r="M305" s="9"/>
      <c r="N305" s="9"/>
      <c r="O305" s="9"/>
    </row>
    <row r="306" spans="1:15" x14ac:dyDescent="0.35">
      <c r="A306" s="2"/>
      <c r="B306" s="2"/>
      <c r="C306" s="1" t="s">
        <v>323</v>
      </c>
      <c r="D306" s="1"/>
      <c r="E306" s="1"/>
      <c r="F306" s="1"/>
      <c r="G306" s="1"/>
      <c r="H306" s="9">
        <v>0</v>
      </c>
      <c r="I306" s="9">
        <v>0</v>
      </c>
      <c r="J306" s="9">
        <v>0</v>
      </c>
      <c r="K306" s="9">
        <v>0</v>
      </c>
      <c r="L306" s="9">
        <v>0</v>
      </c>
      <c r="M306" s="9">
        <v>0</v>
      </c>
      <c r="N306" s="9">
        <v>0</v>
      </c>
      <c r="O306" s="9">
        <v>0</v>
      </c>
    </row>
    <row r="307" spans="1:15" x14ac:dyDescent="0.35">
      <c r="A307" s="2"/>
      <c r="B307" s="2"/>
      <c r="C307" s="4" t="s">
        <v>272</v>
      </c>
      <c r="D307" s="40">
        <f t="shared" ref="D307:G307" si="25">D304-D306</f>
        <v>-395384.98999997973</v>
      </c>
      <c r="E307" s="40">
        <f t="shared" si="25"/>
        <v>16581288.760000005</v>
      </c>
      <c r="F307" s="40">
        <f t="shared" si="25"/>
        <v>5929183.7099999934</v>
      </c>
      <c r="G307" s="40">
        <f t="shared" si="25"/>
        <v>59201393.909999996</v>
      </c>
      <c r="H307" s="40">
        <f t="shared" ref="H307:M307" si="26">H304-H306</f>
        <v>1910062.9999999977</v>
      </c>
      <c r="I307" s="40">
        <f t="shared" si="26"/>
        <v>-911295.63000000687</v>
      </c>
      <c r="J307" s="40">
        <f t="shared" si="26"/>
        <v>14946500.210000023</v>
      </c>
      <c r="K307" s="40">
        <f t="shared" si="26"/>
        <v>-629191.11000000034</v>
      </c>
      <c r="L307" s="40">
        <f t="shared" si="26"/>
        <v>11675446.109999957</v>
      </c>
      <c r="M307" s="40">
        <f t="shared" si="26"/>
        <v>3499516.9600000377</v>
      </c>
      <c r="N307" s="40">
        <f t="shared" ref="N307" si="27">N304-N306</f>
        <v>17559078.149999961</v>
      </c>
      <c r="O307" s="40">
        <f>O304-O306</f>
        <v>13564218.280000061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1825A-BD7F-4F04-A01C-899B05E25D79}">
  <dimension ref="A1"/>
  <sheetViews>
    <sheetView workbookViewId="0">
      <selection activeCell="F24" sqref="F24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7430C-2298-4105-B46E-9B00A965E1D6}">
  <dimension ref="A1:F7"/>
  <sheetViews>
    <sheetView workbookViewId="0">
      <selection activeCell="E22" sqref="E22"/>
    </sheetView>
  </sheetViews>
  <sheetFormatPr defaultRowHeight="14.5" x14ac:dyDescent="0.35"/>
  <cols>
    <col min="1" max="1" width="10.54296875" bestFit="1" customWidth="1"/>
    <col min="2" max="2" width="11.36328125" bestFit="1" customWidth="1"/>
    <col min="3" max="3" width="11.1796875" bestFit="1" customWidth="1"/>
    <col min="4" max="4" width="11.6328125" bestFit="1" customWidth="1"/>
    <col min="6" max="6" width="11.36328125" bestFit="1" customWidth="1"/>
  </cols>
  <sheetData>
    <row r="1" spans="1:6" x14ac:dyDescent="0.35">
      <c r="A1" s="53" t="s">
        <v>565</v>
      </c>
      <c r="B1" s="53"/>
      <c r="C1" s="53" t="s">
        <v>573</v>
      </c>
      <c r="D1" s="53"/>
    </row>
    <row r="2" spans="1:6" x14ac:dyDescent="0.35">
      <c r="A2" s="47" t="s">
        <v>566</v>
      </c>
      <c r="B2" s="47" t="s">
        <v>567</v>
      </c>
      <c r="C2" s="47" t="s">
        <v>566</v>
      </c>
      <c r="D2" s="47" t="s">
        <v>567</v>
      </c>
    </row>
    <row r="3" spans="1:6" x14ac:dyDescent="0.35">
      <c r="A3" s="2" t="s">
        <v>568</v>
      </c>
      <c r="B3" s="9">
        <v>3755865.7800000003</v>
      </c>
      <c r="C3" s="9" t="s">
        <v>568</v>
      </c>
      <c r="D3" s="9">
        <v>8030</v>
      </c>
      <c r="F3" s="44">
        <f>B3+D3</f>
        <v>3763895.7800000003</v>
      </c>
    </row>
    <row r="4" spans="1:6" x14ac:dyDescent="0.35">
      <c r="A4" s="2" t="s">
        <v>569</v>
      </c>
      <c r="B4" s="9">
        <v>1315952.3599999999</v>
      </c>
      <c r="C4" s="9" t="s">
        <v>569</v>
      </c>
      <c r="D4" s="9">
        <v>5750</v>
      </c>
      <c r="F4" s="44">
        <f t="shared" ref="F4:F7" si="0">B4+D4</f>
        <v>1321702.3599999999</v>
      </c>
    </row>
    <row r="5" spans="1:6" x14ac:dyDescent="0.35">
      <c r="A5" s="2" t="s">
        <v>570</v>
      </c>
      <c r="B5" s="9">
        <v>2534790.1299999994</v>
      </c>
      <c r="C5" s="9" t="s">
        <v>570</v>
      </c>
      <c r="D5" s="9">
        <v>11390</v>
      </c>
      <c r="F5" s="44">
        <f t="shared" si="0"/>
        <v>2546180.1299999994</v>
      </c>
    </row>
    <row r="6" spans="1:6" x14ac:dyDescent="0.35">
      <c r="A6" s="2" t="s">
        <v>571</v>
      </c>
      <c r="B6" s="9">
        <v>2749029.1599999997</v>
      </c>
      <c r="C6" s="9" t="s">
        <v>571</v>
      </c>
      <c r="D6" s="9">
        <v>306970.3</v>
      </c>
      <c r="F6" s="44">
        <f t="shared" si="0"/>
        <v>3055999.4599999995</v>
      </c>
    </row>
    <row r="7" spans="1:6" x14ac:dyDescent="0.35">
      <c r="A7" s="47" t="s">
        <v>572</v>
      </c>
      <c r="B7" s="39">
        <v>10355637.43</v>
      </c>
      <c r="C7" s="39" t="s">
        <v>572</v>
      </c>
      <c r="D7" s="39">
        <v>332140.3</v>
      </c>
      <c r="F7" s="48">
        <f t="shared" si="0"/>
        <v>10687777.73</v>
      </c>
    </row>
  </sheetData>
  <mergeCells count="2">
    <mergeCell ref="A1:B1"/>
    <mergeCell ref="C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E5E09-C8B9-4A0F-AB87-24214CB44CC0}">
  <dimension ref="A1:P343"/>
  <sheetViews>
    <sheetView workbookViewId="0">
      <selection activeCell="B1" sqref="B1"/>
    </sheetView>
  </sheetViews>
  <sheetFormatPr defaultRowHeight="14.5" outlineLevelCol="2" x14ac:dyDescent="0.35"/>
  <cols>
    <col min="2" max="2" width="44.1796875" bestFit="1" customWidth="1"/>
    <col min="3" max="3" width="12.36328125" style="7" hidden="1" customWidth="1" outlineLevel="1"/>
    <col min="4" max="4" width="16" style="7" hidden="1" customWidth="1" outlineLevel="1"/>
    <col min="5" max="5" width="16" style="7" customWidth="1" collapsed="1"/>
    <col min="6" max="6" width="17.90625" style="10" hidden="1" customWidth="1" outlineLevel="1"/>
    <col min="7" max="7" width="16" style="10" hidden="1" customWidth="1" outlineLevel="1"/>
    <col min="8" max="8" width="16" style="10" customWidth="1" collapsed="1"/>
    <col min="9" max="9" width="17.6328125" style="10" hidden="1" customWidth="1" outlineLevel="1"/>
    <col min="10" max="10" width="14" style="10" hidden="1" customWidth="1" outlineLevel="1"/>
    <col min="11" max="11" width="14" style="10" customWidth="1" collapsed="1"/>
    <col min="12" max="12" width="17.54296875" style="10" hidden="1" customWidth="1" outlineLevel="2"/>
    <col min="13" max="13" width="12.36328125" style="10" hidden="1" customWidth="1" outlineLevel="2"/>
    <col min="14" max="14" width="14" style="10" customWidth="1" collapsed="1"/>
    <col min="15" max="15" width="10" bestFit="1" customWidth="1"/>
    <col min="16" max="16" width="9.81640625" bestFit="1" customWidth="1"/>
  </cols>
  <sheetData>
    <row r="1" spans="1:15" x14ac:dyDescent="0.35">
      <c r="A1" s="11" t="s">
        <v>336</v>
      </c>
      <c r="B1" s="11" t="s">
        <v>0</v>
      </c>
      <c r="C1" s="54" t="s">
        <v>327</v>
      </c>
      <c r="D1" s="55"/>
      <c r="E1" s="56"/>
      <c r="F1" s="54" t="s">
        <v>328</v>
      </c>
      <c r="G1" s="55"/>
      <c r="H1" s="56"/>
      <c r="I1" s="54" t="s">
        <v>329</v>
      </c>
      <c r="J1" s="55"/>
      <c r="K1" s="56"/>
      <c r="L1" s="54" t="s">
        <v>330</v>
      </c>
      <c r="M1" s="55"/>
      <c r="N1" s="56"/>
    </row>
    <row r="2" spans="1:15" x14ac:dyDescent="0.35">
      <c r="A2" s="11"/>
      <c r="B2" s="11"/>
      <c r="C2" s="20" t="s">
        <v>325</v>
      </c>
      <c r="D2" s="20" t="s">
        <v>326</v>
      </c>
      <c r="E2" s="20" t="s">
        <v>335</v>
      </c>
      <c r="F2" s="21" t="s">
        <v>325</v>
      </c>
      <c r="G2" s="21" t="s">
        <v>326</v>
      </c>
      <c r="H2" s="20" t="s">
        <v>335</v>
      </c>
      <c r="I2" s="21" t="s">
        <v>325</v>
      </c>
      <c r="J2" s="21" t="s">
        <v>326</v>
      </c>
      <c r="K2" s="20" t="s">
        <v>335</v>
      </c>
      <c r="L2" s="21" t="s">
        <v>325</v>
      </c>
      <c r="M2" s="21" t="s">
        <v>326</v>
      </c>
      <c r="N2" s="20" t="s">
        <v>335</v>
      </c>
    </row>
    <row r="3" spans="1:15" x14ac:dyDescent="0.35">
      <c r="A3" s="32">
        <v>1</v>
      </c>
      <c r="B3" s="23" t="s">
        <v>2</v>
      </c>
      <c r="C3" s="8">
        <v>0</v>
      </c>
      <c r="D3" s="8">
        <v>0</v>
      </c>
      <c r="E3" s="8">
        <f>-C3+D3</f>
        <v>0</v>
      </c>
      <c r="F3" s="9">
        <v>0</v>
      </c>
      <c r="G3" s="9">
        <v>0</v>
      </c>
      <c r="H3" s="8">
        <f>-F3+G3</f>
        <v>0</v>
      </c>
      <c r="I3" s="9">
        <v>0</v>
      </c>
      <c r="J3" s="9">
        <v>0</v>
      </c>
      <c r="K3" s="8">
        <f>-I3+J3</f>
        <v>0</v>
      </c>
      <c r="L3" s="9">
        <v>0</v>
      </c>
      <c r="M3" s="9">
        <v>0</v>
      </c>
      <c r="N3" s="8">
        <f>-L3+M3</f>
        <v>0</v>
      </c>
    </row>
    <row r="4" spans="1:15" x14ac:dyDescent="0.35">
      <c r="A4" s="32">
        <f>A3+1</f>
        <v>2</v>
      </c>
      <c r="B4" s="23" t="s">
        <v>3</v>
      </c>
      <c r="C4" s="8">
        <v>0</v>
      </c>
      <c r="D4" s="8">
        <v>0</v>
      </c>
      <c r="E4" s="8">
        <f>-C4+D4</f>
        <v>0</v>
      </c>
      <c r="F4" s="9">
        <v>0</v>
      </c>
      <c r="G4" s="9">
        <v>0</v>
      </c>
      <c r="H4" s="8">
        <f>-F4+G4</f>
        <v>0</v>
      </c>
      <c r="I4" s="9">
        <v>0</v>
      </c>
      <c r="J4" s="9">
        <v>0</v>
      </c>
      <c r="K4" s="8">
        <f>-I4+J4</f>
        <v>0</v>
      </c>
      <c r="L4" s="9">
        <v>0</v>
      </c>
      <c r="M4" s="9">
        <v>0</v>
      </c>
      <c r="N4" s="8">
        <f>-L4+M4</f>
        <v>0</v>
      </c>
    </row>
    <row r="5" spans="1:15" x14ac:dyDescent="0.35">
      <c r="A5" s="32">
        <f t="shared" ref="A5:A68" si="0">A4+1</f>
        <v>3</v>
      </c>
      <c r="B5" s="23" t="s">
        <v>4</v>
      </c>
      <c r="C5" s="8">
        <v>0</v>
      </c>
      <c r="D5" s="8">
        <v>0</v>
      </c>
      <c r="E5" s="8">
        <f t="shared" ref="E5:E39" si="1">-C5+D5</f>
        <v>0</v>
      </c>
      <c r="F5" s="9">
        <v>0</v>
      </c>
      <c r="G5" s="9">
        <v>0</v>
      </c>
      <c r="H5" s="8">
        <f t="shared" ref="H5:H39" si="2">-F5+G5</f>
        <v>0</v>
      </c>
      <c r="I5" s="9">
        <v>0</v>
      </c>
      <c r="J5" s="9">
        <v>0</v>
      </c>
      <c r="K5" s="8">
        <f t="shared" ref="K5:K39" si="3">-I5+J5</f>
        <v>0</v>
      </c>
      <c r="L5" s="9">
        <v>0</v>
      </c>
      <c r="M5" s="9">
        <v>0</v>
      </c>
      <c r="N5" s="8">
        <f t="shared" ref="N5:N39" si="4">-L5+M5</f>
        <v>0</v>
      </c>
      <c r="O5" s="12"/>
    </row>
    <row r="6" spans="1:15" x14ac:dyDescent="0.35">
      <c r="A6" s="32">
        <f t="shared" si="0"/>
        <v>4</v>
      </c>
      <c r="B6" s="23" t="s">
        <v>5</v>
      </c>
      <c r="C6" s="8">
        <v>0</v>
      </c>
      <c r="D6" s="8">
        <v>0</v>
      </c>
      <c r="E6" s="8">
        <f t="shared" si="1"/>
        <v>0</v>
      </c>
      <c r="F6" s="9">
        <v>0</v>
      </c>
      <c r="G6" s="9">
        <v>0</v>
      </c>
      <c r="H6" s="8">
        <f t="shared" si="2"/>
        <v>0</v>
      </c>
      <c r="I6" s="9">
        <v>0</v>
      </c>
      <c r="J6" s="9">
        <v>0</v>
      </c>
      <c r="K6" s="8">
        <f t="shared" si="3"/>
        <v>0</v>
      </c>
      <c r="L6" s="9">
        <v>0</v>
      </c>
      <c r="M6" s="9">
        <v>0</v>
      </c>
      <c r="N6" s="8">
        <f t="shared" si="4"/>
        <v>0</v>
      </c>
    </row>
    <row r="7" spans="1:15" x14ac:dyDescent="0.35">
      <c r="A7" s="32">
        <f t="shared" si="0"/>
        <v>5</v>
      </c>
      <c r="B7" s="23" t="s">
        <v>6</v>
      </c>
      <c r="C7" s="8">
        <v>0</v>
      </c>
      <c r="D7" s="8">
        <v>8452327.2599999998</v>
      </c>
      <c r="E7" s="8">
        <f t="shared" si="1"/>
        <v>8452327.2599999998</v>
      </c>
      <c r="F7" s="9">
        <v>0</v>
      </c>
      <c r="G7" s="9">
        <v>9448922.4000000004</v>
      </c>
      <c r="H7" s="8">
        <f t="shared" si="2"/>
        <v>9448922.4000000004</v>
      </c>
      <c r="I7" s="9">
        <v>0</v>
      </c>
      <c r="J7" s="9">
        <v>7304358.2999999998</v>
      </c>
      <c r="K7" s="8">
        <f t="shared" si="3"/>
        <v>7304358.2999999998</v>
      </c>
      <c r="L7" s="9">
        <v>0</v>
      </c>
      <c r="M7" s="9">
        <v>9260680.8000000007</v>
      </c>
      <c r="N7" s="8">
        <f t="shared" si="4"/>
        <v>9260680.8000000007</v>
      </c>
    </row>
    <row r="8" spans="1:15" x14ac:dyDescent="0.35">
      <c r="A8" s="32">
        <f t="shared" si="0"/>
        <v>6</v>
      </c>
      <c r="B8" s="23" t="s">
        <v>7</v>
      </c>
      <c r="C8" s="8">
        <v>0</v>
      </c>
      <c r="D8" s="8">
        <v>0</v>
      </c>
      <c r="E8" s="8">
        <f t="shared" si="1"/>
        <v>0</v>
      </c>
      <c r="F8" s="9">
        <v>0</v>
      </c>
      <c r="G8" s="9">
        <v>0</v>
      </c>
      <c r="H8" s="8">
        <f t="shared" si="2"/>
        <v>0</v>
      </c>
      <c r="I8" s="9">
        <v>0</v>
      </c>
      <c r="J8" s="9">
        <v>0</v>
      </c>
      <c r="K8" s="8">
        <f t="shared" si="3"/>
        <v>0</v>
      </c>
      <c r="L8" s="9">
        <v>0</v>
      </c>
      <c r="M8" s="9">
        <v>0</v>
      </c>
      <c r="N8" s="8">
        <f t="shared" si="4"/>
        <v>0</v>
      </c>
    </row>
    <row r="9" spans="1:15" x14ac:dyDescent="0.35">
      <c r="A9" s="32">
        <f t="shared" si="0"/>
        <v>7</v>
      </c>
      <c r="B9" s="23" t="s">
        <v>8</v>
      </c>
      <c r="C9" s="8">
        <v>0</v>
      </c>
      <c r="D9" s="8">
        <v>33860917.799999997</v>
      </c>
      <c r="E9" s="8">
        <f t="shared" si="1"/>
        <v>33860917.799999997</v>
      </c>
      <c r="F9" s="9">
        <v>0</v>
      </c>
      <c r="G9" s="9">
        <v>31208624.84</v>
      </c>
      <c r="H9" s="8">
        <f t="shared" si="2"/>
        <v>31208624.84</v>
      </c>
      <c r="I9" s="9">
        <v>0</v>
      </c>
      <c r="J9" s="9">
        <v>31905140.460000001</v>
      </c>
      <c r="K9" s="8">
        <f t="shared" si="3"/>
        <v>31905140.460000001</v>
      </c>
      <c r="L9" s="9">
        <v>0</v>
      </c>
      <c r="M9" s="9">
        <v>30791324.399999999</v>
      </c>
      <c r="N9" s="8">
        <f t="shared" si="4"/>
        <v>30791324.399999999</v>
      </c>
    </row>
    <row r="10" spans="1:15" x14ac:dyDescent="0.35">
      <c r="A10" s="32">
        <f t="shared" si="0"/>
        <v>8</v>
      </c>
      <c r="B10" s="23" t="s">
        <v>9</v>
      </c>
      <c r="C10" s="8">
        <v>0</v>
      </c>
      <c r="D10" s="8">
        <v>5577108.3300000001</v>
      </c>
      <c r="E10" s="8">
        <f t="shared" si="1"/>
        <v>5577108.3300000001</v>
      </c>
      <c r="F10" s="9">
        <v>3854.26</v>
      </c>
      <c r="G10" s="9">
        <v>0</v>
      </c>
      <c r="H10" s="8">
        <f t="shared" si="2"/>
        <v>-3854.26</v>
      </c>
      <c r="I10" s="9">
        <v>0</v>
      </c>
      <c r="J10" s="9">
        <v>0</v>
      </c>
      <c r="K10" s="8">
        <f t="shared" si="3"/>
        <v>0</v>
      </c>
      <c r="L10" s="9">
        <v>0</v>
      </c>
      <c r="M10" s="9">
        <v>0</v>
      </c>
      <c r="N10" s="8">
        <f t="shared" si="4"/>
        <v>0</v>
      </c>
    </row>
    <row r="11" spans="1:15" x14ac:dyDescent="0.35">
      <c r="A11" s="32">
        <f t="shared" si="0"/>
        <v>9</v>
      </c>
      <c r="B11" s="23" t="s">
        <v>10</v>
      </c>
      <c r="C11" s="8">
        <v>0</v>
      </c>
      <c r="D11" s="8">
        <v>8030</v>
      </c>
      <c r="E11" s="8">
        <f t="shared" si="1"/>
        <v>8030</v>
      </c>
      <c r="F11" s="9">
        <v>0</v>
      </c>
      <c r="G11" s="9">
        <v>5750</v>
      </c>
      <c r="H11" s="8">
        <f t="shared" si="2"/>
        <v>5750</v>
      </c>
      <c r="I11" s="9">
        <v>0</v>
      </c>
      <c r="J11" s="9">
        <v>11390</v>
      </c>
      <c r="K11" s="8">
        <f t="shared" si="3"/>
        <v>11390</v>
      </c>
      <c r="L11" s="9">
        <v>0</v>
      </c>
      <c r="M11" s="9">
        <v>13782.5</v>
      </c>
      <c r="N11" s="8">
        <f t="shared" si="4"/>
        <v>13782.5</v>
      </c>
    </row>
    <row r="12" spans="1:15" x14ac:dyDescent="0.35">
      <c r="A12" s="32">
        <f t="shared" si="0"/>
        <v>10</v>
      </c>
      <c r="B12" s="23" t="s">
        <v>11</v>
      </c>
      <c r="C12" s="8">
        <v>8317902</v>
      </c>
      <c r="D12" s="8">
        <v>0</v>
      </c>
      <c r="E12" s="8">
        <f t="shared" si="1"/>
        <v>-8317902</v>
      </c>
      <c r="F12" s="9">
        <v>2063133</v>
      </c>
      <c r="G12" s="9">
        <v>0</v>
      </c>
      <c r="H12" s="8">
        <f t="shared" si="2"/>
        <v>-2063133</v>
      </c>
      <c r="I12" s="9">
        <v>5521700</v>
      </c>
      <c r="J12" s="9">
        <v>0</v>
      </c>
      <c r="K12" s="8">
        <f t="shared" si="3"/>
        <v>-5521700</v>
      </c>
      <c r="L12" s="9">
        <v>0</v>
      </c>
      <c r="M12" s="9">
        <v>0</v>
      </c>
      <c r="N12" s="8">
        <f t="shared" si="4"/>
        <v>0</v>
      </c>
    </row>
    <row r="13" spans="1:15" x14ac:dyDescent="0.35">
      <c r="A13" s="32">
        <f t="shared" si="0"/>
        <v>11</v>
      </c>
      <c r="B13" s="23" t="s">
        <v>12</v>
      </c>
      <c r="C13" s="8">
        <v>0</v>
      </c>
      <c r="D13" s="8">
        <v>0</v>
      </c>
      <c r="E13" s="8">
        <f t="shared" si="1"/>
        <v>0</v>
      </c>
      <c r="F13" s="9">
        <v>0</v>
      </c>
      <c r="G13" s="9">
        <v>0</v>
      </c>
      <c r="H13" s="8">
        <f t="shared" si="2"/>
        <v>0</v>
      </c>
      <c r="I13" s="9">
        <v>0</v>
      </c>
      <c r="J13" s="9">
        <v>0</v>
      </c>
      <c r="K13" s="8">
        <f t="shared" si="3"/>
        <v>0</v>
      </c>
      <c r="L13" s="9">
        <v>0</v>
      </c>
      <c r="M13" s="9">
        <v>0</v>
      </c>
      <c r="N13" s="8">
        <f t="shared" si="4"/>
        <v>0</v>
      </c>
    </row>
    <row r="14" spans="1:15" x14ac:dyDescent="0.35">
      <c r="A14" s="32">
        <f t="shared" si="0"/>
        <v>12</v>
      </c>
      <c r="B14" s="23" t="s">
        <v>13</v>
      </c>
      <c r="C14" s="8">
        <v>0</v>
      </c>
      <c r="D14" s="8">
        <v>0</v>
      </c>
      <c r="E14" s="8">
        <f t="shared" si="1"/>
        <v>0</v>
      </c>
      <c r="F14" s="9">
        <v>0</v>
      </c>
      <c r="G14" s="9">
        <v>0</v>
      </c>
      <c r="H14" s="8">
        <f t="shared" si="2"/>
        <v>0</v>
      </c>
      <c r="I14" s="9">
        <v>0</v>
      </c>
      <c r="J14" s="9">
        <v>0</v>
      </c>
      <c r="K14" s="8">
        <f t="shared" si="3"/>
        <v>0</v>
      </c>
      <c r="L14" s="9">
        <v>0</v>
      </c>
      <c r="M14" s="9">
        <v>0</v>
      </c>
      <c r="N14" s="8">
        <f t="shared" si="4"/>
        <v>0</v>
      </c>
    </row>
    <row r="15" spans="1:15" x14ac:dyDescent="0.35">
      <c r="A15" s="32">
        <f t="shared" si="0"/>
        <v>13</v>
      </c>
      <c r="B15" s="23" t="s">
        <v>14</v>
      </c>
      <c r="C15" s="8">
        <v>0</v>
      </c>
      <c r="D15" s="8">
        <v>0</v>
      </c>
      <c r="E15" s="8">
        <f t="shared" si="1"/>
        <v>0</v>
      </c>
      <c r="F15" s="9">
        <v>0</v>
      </c>
      <c r="G15" s="9">
        <v>0</v>
      </c>
      <c r="H15" s="8">
        <f t="shared" si="2"/>
        <v>0</v>
      </c>
      <c r="I15" s="9">
        <v>0</v>
      </c>
      <c r="J15" s="9">
        <v>0</v>
      </c>
      <c r="K15" s="8">
        <f t="shared" si="3"/>
        <v>0</v>
      </c>
      <c r="L15" s="9">
        <v>0</v>
      </c>
      <c r="M15" s="9">
        <v>0</v>
      </c>
      <c r="N15" s="8">
        <f t="shared" si="4"/>
        <v>0</v>
      </c>
    </row>
    <row r="16" spans="1:15" x14ac:dyDescent="0.35">
      <c r="A16" s="32">
        <f t="shared" si="0"/>
        <v>14</v>
      </c>
      <c r="B16" s="23" t="s">
        <v>15</v>
      </c>
      <c r="C16" s="8">
        <v>0</v>
      </c>
      <c r="D16" s="8">
        <v>0</v>
      </c>
      <c r="E16" s="8">
        <f t="shared" si="1"/>
        <v>0</v>
      </c>
      <c r="F16" s="9">
        <v>0</v>
      </c>
      <c r="G16" s="9">
        <v>0</v>
      </c>
      <c r="H16" s="8">
        <f t="shared" si="2"/>
        <v>0</v>
      </c>
      <c r="I16" s="9">
        <v>0</v>
      </c>
      <c r="J16" s="9">
        <v>0</v>
      </c>
      <c r="K16" s="8">
        <f t="shared" si="3"/>
        <v>0</v>
      </c>
      <c r="L16" s="9">
        <v>0</v>
      </c>
      <c r="M16" s="9">
        <v>0</v>
      </c>
      <c r="N16" s="8">
        <f t="shared" si="4"/>
        <v>0</v>
      </c>
    </row>
    <row r="17" spans="1:14" x14ac:dyDescent="0.35">
      <c r="A17" s="32">
        <f t="shared" si="0"/>
        <v>15</v>
      </c>
      <c r="B17" s="23" t="s">
        <v>16</v>
      </c>
      <c r="C17" s="8">
        <v>0</v>
      </c>
      <c r="D17" s="8">
        <v>0</v>
      </c>
      <c r="E17" s="8">
        <f t="shared" si="1"/>
        <v>0</v>
      </c>
      <c r="F17" s="9">
        <v>0</v>
      </c>
      <c r="G17" s="9">
        <v>22185</v>
      </c>
      <c r="H17" s="8">
        <f t="shared" si="2"/>
        <v>22185</v>
      </c>
      <c r="I17" s="9">
        <v>0</v>
      </c>
      <c r="J17" s="9">
        <v>0</v>
      </c>
      <c r="K17" s="8">
        <f t="shared" si="3"/>
        <v>0</v>
      </c>
      <c r="L17" s="9">
        <v>0</v>
      </c>
      <c r="M17" s="9">
        <v>161224.20000000001</v>
      </c>
      <c r="N17" s="8">
        <f t="shared" si="4"/>
        <v>161224.20000000001</v>
      </c>
    </row>
    <row r="18" spans="1:14" ht="14.4" x14ac:dyDescent="0.3">
      <c r="A18" s="32">
        <f t="shared" si="0"/>
        <v>16</v>
      </c>
      <c r="B18" s="23" t="s">
        <v>17</v>
      </c>
      <c r="C18" s="8">
        <v>0</v>
      </c>
      <c r="D18" s="8">
        <v>0</v>
      </c>
      <c r="E18" s="8">
        <f t="shared" si="1"/>
        <v>0</v>
      </c>
      <c r="F18" s="9">
        <v>0</v>
      </c>
      <c r="G18" s="9">
        <v>0</v>
      </c>
      <c r="H18" s="8">
        <f t="shared" si="2"/>
        <v>0</v>
      </c>
      <c r="I18" s="9">
        <v>0</v>
      </c>
      <c r="J18" s="9">
        <v>0</v>
      </c>
      <c r="K18" s="8">
        <f t="shared" si="3"/>
        <v>0</v>
      </c>
      <c r="L18" s="9">
        <v>0</v>
      </c>
      <c r="M18" s="9">
        <v>4280.1000000000004</v>
      </c>
      <c r="N18" s="8">
        <f t="shared" si="4"/>
        <v>4280.1000000000004</v>
      </c>
    </row>
    <row r="19" spans="1:14" ht="14.4" x14ac:dyDescent="0.3">
      <c r="A19" s="32">
        <f t="shared" si="0"/>
        <v>17</v>
      </c>
      <c r="B19" s="23" t="s">
        <v>18</v>
      </c>
      <c r="C19" s="8">
        <v>0</v>
      </c>
      <c r="D19" s="8">
        <v>0</v>
      </c>
      <c r="E19" s="8">
        <f t="shared" si="1"/>
        <v>0</v>
      </c>
      <c r="F19" s="9">
        <v>0</v>
      </c>
      <c r="G19" s="9">
        <v>0</v>
      </c>
      <c r="H19" s="8">
        <f t="shared" si="2"/>
        <v>0</v>
      </c>
      <c r="I19" s="9">
        <v>0</v>
      </c>
      <c r="J19" s="9">
        <v>0</v>
      </c>
      <c r="K19" s="8">
        <f t="shared" si="3"/>
        <v>0</v>
      </c>
      <c r="L19" s="9">
        <v>0</v>
      </c>
      <c r="M19" s="9">
        <v>0</v>
      </c>
      <c r="N19" s="8">
        <f t="shared" si="4"/>
        <v>0</v>
      </c>
    </row>
    <row r="20" spans="1:14" ht="14.4" x14ac:dyDescent="0.3">
      <c r="A20" s="32">
        <f t="shared" si="0"/>
        <v>18</v>
      </c>
      <c r="B20" s="23" t="s">
        <v>19</v>
      </c>
      <c r="C20" s="8">
        <v>0</v>
      </c>
      <c r="D20" s="8">
        <v>41018132.399999999</v>
      </c>
      <c r="E20" s="8">
        <f t="shared" si="1"/>
        <v>41018132.399999999</v>
      </c>
      <c r="F20" s="9">
        <v>0</v>
      </c>
      <c r="G20" s="9">
        <v>39277952.880000003</v>
      </c>
      <c r="H20" s="8">
        <f t="shared" si="2"/>
        <v>39277952.880000003</v>
      </c>
      <c r="I20" s="9">
        <v>0</v>
      </c>
      <c r="J20" s="9">
        <v>46103887.060000002</v>
      </c>
      <c r="K20" s="8">
        <f t="shared" si="3"/>
        <v>46103887.060000002</v>
      </c>
      <c r="L20" s="9">
        <v>0</v>
      </c>
      <c r="M20" s="9">
        <v>44780924.119999997</v>
      </c>
      <c r="N20" s="8">
        <f t="shared" si="4"/>
        <v>44780924.119999997</v>
      </c>
    </row>
    <row r="21" spans="1:14" ht="14.4" x14ac:dyDescent="0.3">
      <c r="A21" s="32">
        <f t="shared" si="0"/>
        <v>19</v>
      </c>
      <c r="B21" s="23" t="s">
        <v>20</v>
      </c>
      <c r="C21" s="8">
        <v>0</v>
      </c>
      <c r="D21" s="8">
        <v>0</v>
      </c>
      <c r="E21" s="8">
        <f t="shared" si="1"/>
        <v>0</v>
      </c>
      <c r="F21" s="9">
        <v>0</v>
      </c>
      <c r="G21" s="9">
        <v>0</v>
      </c>
      <c r="H21" s="8">
        <f t="shared" si="2"/>
        <v>0</v>
      </c>
      <c r="I21" s="9">
        <v>0</v>
      </c>
      <c r="J21" s="9">
        <v>0</v>
      </c>
      <c r="K21" s="8">
        <f t="shared" si="3"/>
        <v>0</v>
      </c>
      <c r="L21" s="9">
        <v>0</v>
      </c>
      <c r="M21" s="9">
        <v>0</v>
      </c>
      <c r="N21" s="8">
        <f t="shared" si="4"/>
        <v>0</v>
      </c>
    </row>
    <row r="22" spans="1:14" ht="14.4" x14ac:dyDescent="0.3">
      <c r="A22" s="32">
        <f t="shared" si="0"/>
        <v>20</v>
      </c>
      <c r="B22" s="23" t="s">
        <v>21</v>
      </c>
      <c r="C22" s="8">
        <v>0</v>
      </c>
      <c r="D22" s="8">
        <v>0</v>
      </c>
      <c r="E22" s="8">
        <f t="shared" si="1"/>
        <v>0</v>
      </c>
      <c r="F22" s="9">
        <v>0</v>
      </c>
      <c r="G22" s="9">
        <v>0</v>
      </c>
      <c r="H22" s="8">
        <f t="shared" si="2"/>
        <v>0</v>
      </c>
      <c r="I22" s="9">
        <v>0</v>
      </c>
      <c r="J22" s="9">
        <v>0</v>
      </c>
      <c r="K22" s="8">
        <f t="shared" si="3"/>
        <v>0</v>
      </c>
      <c r="L22" s="9">
        <v>0</v>
      </c>
      <c r="M22" s="9">
        <v>0</v>
      </c>
      <c r="N22" s="8">
        <f t="shared" si="4"/>
        <v>0</v>
      </c>
    </row>
    <row r="23" spans="1:14" ht="14.4" x14ac:dyDescent="0.3">
      <c r="A23" s="32">
        <f t="shared" si="0"/>
        <v>21</v>
      </c>
      <c r="B23" s="23" t="s">
        <v>22</v>
      </c>
      <c r="C23" s="8">
        <v>0</v>
      </c>
      <c r="D23" s="8">
        <v>0</v>
      </c>
      <c r="E23" s="8">
        <f t="shared" si="1"/>
        <v>0</v>
      </c>
      <c r="F23" s="9">
        <v>0</v>
      </c>
      <c r="G23" s="9">
        <v>0</v>
      </c>
      <c r="H23" s="8">
        <f t="shared" si="2"/>
        <v>0</v>
      </c>
      <c r="I23" s="9">
        <v>0</v>
      </c>
      <c r="J23" s="9">
        <v>0</v>
      </c>
      <c r="K23" s="8">
        <f t="shared" si="3"/>
        <v>0</v>
      </c>
      <c r="L23" s="9">
        <v>0</v>
      </c>
      <c r="M23" s="9">
        <v>0</v>
      </c>
      <c r="N23" s="8">
        <f t="shared" si="4"/>
        <v>0</v>
      </c>
    </row>
    <row r="24" spans="1:14" ht="14.4" x14ac:dyDescent="0.3">
      <c r="A24" s="32">
        <f t="shared" si="0"/>
        <v>22</v>
      </c>
      <c r="B24" s="23" t="s">
        <v>23</v>
      </c>
      <c r="C24" s="8">
        <v>0</v>
      </c>
      <c r="D24" s="8">
        <v>20229779.98</v>
      </c>
      <c r="E24" s="8">
        <f t="shared" si="1"/>
        <v>20229779.98</v>
      </c>
      <c r="F24" s="9">
        <v>0</v>
      </c>
      <c r="G24" s="9">
        <v>15790997.880000001</v>
      </c>
      <c r="H24" s="8">
        <f t="shared" si="2"/>
        <v>15790997.880000001</v>
      </c>
      <c r="I24" s="9">
        <v>0</v>
      </c>
      <c r="J24" s="9">
        <v>17277194.379999999</v>
      </c>
      <c r="K24" s="8">
        <f t="shared" si="3"/>
        <v>17277194.379999999</v>
      </c>
      <c r="L24" s="9">
        <v>0</v>
      </c>
      <c r="M24" s="9">
        <v>19901281.66</v>
      </c>
      <c r="N24" s="8">
        <f t="shared" si="4"/>
        <v>19901281.66</v>
      </c>
    </row>
    <row r="25" spans="1:14" ht="14.4" x14ac:dyDescent="0.3">
      <c r="A25" s="32">
        <f t="shared" si="0"/>
        <v>23</v>
      </c>
      <c r="B25" s="23" t="s">
        <v>24</v>
      </c>
      <c r="C25" s="8">
        <v>0</v>
      </c>
      <c r="D25" s="8">
        <v>239868</v>
      </c>
      <c r="E25" s="8">
        <f t="shared" si="1"/>
        <v>239868</v>
      </c>
      <c r="F25" s="9">
        <v>0</v>
      </c>
      <c r="G25" s="9">
        <v>0</v>
      </c>
      <c r="H25" s="8">
        <f t="shared" si="2"/>
        <v>0</v>
      </c>
      <c r="I25" s="9">
        <v>0</v>
      </c>
      <c r="J25" s="9">
        <v>549180</v>
      </c>
      <c r="K25" s="8">
        <f t="shared" si="3"/>
        <v>549180</v>
      </c>
      <c r="L25" s="9">
        <v>0</v>
      </c>
      <c r="M25" s="9">
        <v>0</v>
      </c>
      <c r="N25" s="8">
        <f t="shared" si="4"/>
        <v>0</v>
      </c>
    </row>
    <row r="26" spans="1:14" ht="14.4" x14ac:dyDescent="0.3">
      <c r="A26" s="32">
        <f t="shared" si="0"/>
        <v>24</v>
      </c>
      <c r="B26" s="24" t="s">
        <v>25</v>
      </c>
      <c r="C26" s="8">
        <v>0</v>
      </c>
      <c r="D26" s="8">
        <v>430545.6</v>
      </c>
      <c r="E26" s="8">
        <f t="shared" si="1"/>
        <v>430545.6</v>
      </c>
      <c r="F26" s="9">
        <v>0</v>
      </c>
      <c r="G26" s="9">
        <v>794447</v>
      </c>
      <c r="H26" s="8">
        <f t="shared" si="2"/>
        <v>794447</v>
      </c>
      <c r="I26" s="9">
        <v>0</v>
      </c>
      <c r="J26" s="9">
        <v>432097.8</v>
      </c>
      <c r="K26" s="8">
        <f t="shared" si="3"/>
        <v>432097.8</v>
      </c>
      <c r="L26" s="9">
        <v>0</v>
      </c>
      <c r="M26" s="9">
        <v>786645.6</v>
      </c>
      <c r="N26" s="8">
        <f t="shared" si="4"/>
        <v>786645.6</v>
      </c>
    </row>
    <row r="27" spans="1:14" ht="14.4" x14ac:dyDescent="0.3">
      <c r="A27" s="32">
        <f t="shared" si="0"/>
        <v>25</v>
      </c>
      <c r="B27" s="23" t="s">
        <v>26</v>
      </c>
      <c r="C27" s="8">
        <v>0</v>
      </c>
      <c r="D27" s="8">
        <v>0</v>
      </c>
      <c r="E27" s="8">
        <f t="shared" si="1"/>
        <v>0</v>
      </c>
      <c r="F27" s="9">
        <v>0</v>
      </c>
      <c r="G27" s="9">
        <v>0</v>
      </c>
      <c r="H27" s="8">
        <f t="shared" si="2"/>
        <v>0</v>
      </c>
      <c r="I27" s="9">
        <v>0</v>
      </c>
      <c r="J27" s="9">
        <v>0</v>
      </c>
      <c r="K27" s="8">
        <f t="shared" si="3"/>
        <v>0</v>
      </c>
      <c r="L27" s="9">
        <v>0</v>
      </c>
      <c r="M27" s="9">
        <v>0</v>
      </c>
      <c r="N27" s="8">
        <f t="shared" si="4"/>
        <v>0</v>
      </c>
    </row>
    <row r="28" spans="1:14" ht="14.4" x14ac:dyDescent="0.3">
      <c r="A28" s="32">
        <f t="shared" si="0"/>
        <v>26</v>
      </c>
      <c r="B28" s="23" t="s">
        <v>27</v>
      </c>
      <c r="C28" s="8">
        <v>0</v>
      </c>
      <c r="D28" s="8">
        <v>2000</v>
      </c>
      <c r="E28" s="8">
        <f t="shared" si="1"/>
        <v>2000</v>
      </c>
      <c r="F28" s="9">
        <v>0</v>
      </c>
      <c r="G28" s="9">
        <v>0</v>
      </c>
      <c r="H28" s="8">
        <f t="shared" si="2"/>
        <v>0</v>
      </c>
      <c r="I28" s="9">
        <v>0</v>
      </c>
      <c r="J28" s="9">
        <v>0</v>
      </c>
      <c r="K28" s="8">
        <f t="shared" si="3"/>
        <v>0</v>
      </c>
      <c r="L28" s="9">
        <v>0</v>
      </c>
      <c r="M28" s="9">
        <v>0</v>
      </c>
      <c r="N28" s="8">
        <f t="shared" si="4"/>
        <v>0</v>
      </c>
    </row>
    <row r="29" spans="1:14" ht="14.4" x14ac:dyDescent="0.3">
      <c r="A29" s="32">
        <f t="shared" si="0"/>
        <v>27</v>
      </c>
      <c r="B29" s="23" t="s">
        <v>28</v>
      </c>
      <c r="C29" s="8">
        <v>0</v>
      </c>
      <c r="D29" s="8">
        <v>2000</v>
      </c>
      <c r="E29" s="8">
        <f t="shared" si="1"/>
        <v>2000</v>
      </c>
      <c r="F29" s="9">
        <v>0</v>
      </c>
      <c r="G29" s="9">
        <v>190965.1</v>
      </c>
      <c r="H29" s="8">
        <f t="shared" si="2"/>
        <v>190965.1</v>
      </c>
      <c r="I29" s="9">
        <v>0</v>
      </c>
      <c r="J29" s="9">
        <v>6500</v>
      </c>
      <c r="K29" s="8">
        <f t="shared" si="3"/>
        <v>6500</v>
      </c>
      <c r="L29" s="9">
        <v>0</v>
      </c>
      <c r="M29" s="9">
        <v>83340</v>
      </c>
      <c r="N29" s="8">
        <f t="shared" si="4"/>
        <v>83340</v>
      </c>
    </row>
    <row r="30" spans="1:14" ht="14.4" x14ac:dyDescent="0.3">
      <c r="A30" s="32">
        <f t="shared" si="0"/>
        <v>28</v>
      </c>
      <c r="B30" s="23" t="s">
        <v>29</v>
      </c>
      <c r="C30" s="8">
        <v>0</v>
      </c>
      <c r="D30" s="8">
        <v>0</v>
      </c>
      <c r="E30" s="8">
        <f t="shared" si="1"/>
        <v>0</v>
      </c>
      <c r="F30" s="9">
        <v>0</v>
      </c>
      <c r="G30" s="9">
        <v>0</v>
      </c>
      <c r="H30" s="8">
        <f t="shared" si="2"/>
        <v>0</v>
      </c>
      <c r="I30" s="9">
        <v>0</v>
      </c>
      <c r="J30" s="9">
        <v>0</v>
      </c>
      <c r="K30" s="8">
        <f t="shared" si="3"/>
        <v>0</v>
      </c>
      <c r="L30" s="9">
        <v>0</v>
      </c>
      <c r="M30" s="9">
        <v>0</v>
      </c>
      <c r="N30" s="8">
        <f t="shared" si="4"/>
        <v>0</v>
      </c>
    </row>
    <row r="31" spans="1:14" ht="14.4" x14ac:dyDescent="0.3">
      <c r="A31" s="32">
        <f t="shared" si="0"/>
        <v>29</v>
      </c>
      <c r="B31" s="23" t="s">
        <v>30</v>
      </c>
      <c r="C31" s="8">
        <v>0</v>
      </c>
      <c r="D31" s="8">
        <v>0</v>
      </c>
      <c r="E31" s="8">
        <f t="shared" si="1"/>
        <v>0</v>
      </c>
      <c r="F31" s="9">
        <v>0</v>
      </c>
      <c r="G31" s="9">
        <v>0</v>
      </c>
      <c r="H31" s="8">
        <f t="shared" si="2"/>
        <v>0</v>
      </c>
      <c r="I31" s="9">
        <v>0</v>
      </c>
      <c r="J31" s="9">
        <v>0</v>
      </c>
      <c r="K31" s="8">
        <f t="shared" si="3"/>
        <v>0</v>
      </c>
      <c r="L31" s="9">
        <v>0</v>
      </c>
      <c r="M31" s="9">
        <v>0</v>
      </c>
      <c r="N31" s="8">
        <f t="shared" si="4"/>
        <v>0</v>
      </c>
    </row>
    <row r="32" spans="1:14" ht="14.4" x14ac:dyDescent="0.3">
      <c r="A32" s="32">
        <f t="shared" si="0"/>
        <v>30</v>
      </c>
      <c r="B32" s="23" t="s">
        <v>31</v>
      </c>
      <c r="C32" s="8">
        <v>0</v>
      </c>
      <c r="D32" s="8">
        <v>0</v>
      </c>
      <c r="E32" s="8">
        <f t="shared" si="1"/>
        <v>0</v>
      </c>
      <c r="F32" s="9">
        <v>0</v>
      </c>
      <c r="G32" s="9">
        <v>0</v>
      </c>
      <c r="H32" s="8">
        <f t="shared" si="2"/>
        <v>0</v>
      </c>
      <c r="I32" s="9">
        <v>0</v>
      </c>
      <c r="J32" s="9">
        <v>8424716</v>
      </c>
      <c r="K32" s="8">
        <f t="shared" si="3"/>
        <v>8424716</v>
      </c>
      <c r="L32" s="9">
        <v>0</v>
      </c>
      <c r="M32" s="9">
        <v>0</v>
      </c>
      <c r="N32" s="8">
        <f t="shared" si="4"/>
        <v>0</v>
      </c>
    </row>
    <row r="33" spans="1:16" ht="14.4" x14ac:dyDescent="0.3">
      <c r="A33" s="32">
        <f t="shared" si="0"/>
        <v>31</v>
      </c>
      <c r="B33" s="23" t="s">
        <v>32</v>
      </c>
      <c r="C33" s="8">
        <v>0</v>
      </c>
      <c r="D33" s="8">
        <v>0</v>
      </c>
      <c r="E33" s="8">
        <f t="shared" si="1"/>
        <v>0</v>
      </c>
      <c r="F33" s="9">
        <v>0</v>
      </c>
      <c r="G33" s="9">
        <v>0</v>
      </c>
      <c r="H33" s="8">
        <f t="shared" si="2"/>
        <v>0</v>
      </c>
      <c r="I33" s="9">
        <v>0</v>
      </c>
      <c r="J33" s="9">
        <v>0</v>
      </c>
      <c r="K33" s="8">
        <f t="shared" si="3"/>
        <v>0</v>
      </c>
      <c r="L33" s="9">
        <v>0</v>
      </c>
      <c r="M33" s="9">
        <v>0</v>
      </c>
      <c r="N33" s="8">
        <f t="shared" si="4"/>
        <v>0</v>
      </c>
    </row>
    <row r="34" spans="1:16" ht="14.4" x14ac:dyDescent="0.3">
      <c r="A34" s="32">
        <f t="shared" si="0"/>
        <v>32</v>
      </c>
      <c r="B34" s="23" t="s">
        <v>33</v>
      </c>
      <c r="C34" s="8">
        <v>0</v>
      </c>
      <c r="D34" s="8">
        <v>0</v>
      </c>
      <c r="E34" s="8">
        <f t="shared" si="1"/>
        <v>0</v>
      </c>
      <c r="F34" s="9">
        <v>0</v>
      </c>
      <c r="G34" s="9">
        <v>0</v>
      </c>
      <c r="H34" s="8">
        <f t="shared" si="2"/>
        <v>0</v>
      </c>
      <c r="I34" s="9">
        <v>0</v>
      </c>
      <c r="J34" s="9">
        <v>0</v>
      </c>
      <c r="K34" s="8">
        <f t="shared" si="3"/>
        <v>0</v>
      </c>
      <c r="L34" s="9">
        <v>0</v>
      </c>
      <c r="M34" s="9">
        <v>0</v>
      </c>
      <c r="N34" s="8">
        <f t="shared" si="4"/>
        <v>0</v>
      </c>
    </row>
    <row r="35" spans="1:16" ht="14.4" x14ac:dyDescent="0.3">
      <c r="A35" s="32">
        <f t="shared" si="0"/>
        <v>33</v>
      </c>
      <c r="B35" s="23" t="s">
        <v>34</v>
      </c>
      <c r="C35" s="8">
        <v>0</v>
      </c>
      <c r="D35" s="8">
        <v>0</v>
      </c>
      <c r="E35" s="8">
        <f t="shared" si="1"/>
        <v>0</v>
      </c>
      <c r="F35" s="9">
        <v>0</v>
      </c>
      <c r="G35" s="9">
        <v>5769610</v>
      </c>
      <c r="H35" s="8">
        <f t="shared" si="2"/>
        <v>5769610</v>
      </c>
      <c r="I35" s="9">
        <v>1856328.2</v>
      </c>
      <c r="J35" s="9">
        <v>0</v>
      </c>
      <c r="K35" s="8">
        <f t="shared" si="3"/>
        <v>-1856328.2</v>
      </c>
      <c r="L35" s="9">
        <v>0</v>
      </c>
      <c r="M35" s="9">
        <v>345150</v>
      </c>
      <c r="N35" s="8">
        <f t="shared" si="4"/>
        <v>345150</v>
      </c>
    </row>
    <row r="36" spans="1:16" ht="14.4" x14ac:dyDescent="0.3">
      <c r="A36" s="32">
        <f t="shared" si="0"/>
        <v>34</v>
      </c>
      <c r="B36" s="23" t="s">
        <v>35</v>
      </c>
      <c r="C36" s="8">
        <v>0</v>
      </c>
      <c r="D36" s="8">
        <v>2250400</v>
      </c>
      <c r="E36" s="8">
        <f t="shared" si="1"/>
        <v>2250400</v>
      </c>
      <c r="F36" s="9">
        <v>0</v>
      </c>
      <c r="G36" s="9">
        <v>0</v>
      </c>
      <c r="H36" s="8">
        <f t="shared" si="2"/>
        <v>0</v>
      </c>
      <c r="I36" s="9">
        <v>0</v>
      </c>
      <c r="J36" s="9">
        <v>1262605.92</v>
      </c>
      <c r="K36" s="8">
        <f t="shared" si="3"/>
        <v>1262605.92</v>
      </c>
      <c r="L36" s="9">
        <v>0</v>
      </c>
      <c r="M36" s="9">
        <v>0</v>
      </c>
      <c r="N36" s="8">
        <f t="shared" si="4"/>
        <v>0</v>
      </c>
    </row>
    <row r="37" spans="1:16" ht="14.4" x14ac:dyDescent="0.3">
      <c r="A37" s="32">
        <f t="shared" si="0"/>
        <v>35</v>
      </c>
      <c r="B37" s="23" t="s">
        <v>36</v>
      </c>
      <c r="C37" s="8">
        <v>0</v>
      </c>
      <c r="D37" s="8">
        <v>0</v>
      </c>
      <c r="E37" s="8">
        <f t="shared" si="1"/>
        <v>0</v>
      </c>
      <c r="F37" s="9">
        <v>0</v>
      </c>
      <c r="G37" s="9">
        <v>0</v>
      </c>
      <c r="H37" s="8">
        <f t="shared" si="2"/>
        <v>0</v>
      </c>
      <c r="I37" s="9">
        <v>0</v>
      </c>
      <c r="J37" s="9">
        <v>0</v>
      </c>
      <c r="K37" s="8">
        <f t="shared" si="3"/>
        <v>0</v>
      </c>
      <c r="L37" s="9">
        <v>0</v>
      </c>
      <c r="M37" s="9">
        <v>0</v>
      </c>
      <c r="N37" s="8">
        <f t="shared" si="4"/>
        <v>0</v>
      </c>
    </row>
    <row r="38" spans="1:16" ht="14.4" x14ac:dyDescent="0.3">
      <c r="A38" s="32">
        <f t="shared" si="0"/>
        <v>36</v>
      </c>
      <c r="B38" s="23" t="s">
        <v>37</v>
      </c>
      <c r="C38" s="8">
        <v>0</v>
      </c>
      <c r="D38" s="8">
        <v>10525044.720000001</v>
      </c>
      <c r="E38" s="8">
        <f t="shared" si="1"/>
        <v>10525044.720000001</v>
      </c>
      <c r="F38" s="9">
        <v>0</v>
      </c>
      <c r="G38" s="9">
        <v>10821118.560000001</v>
      </c>
      <c r="H38" s="8">
        <f t="shared" si="2"/>
        <v>10821118.560000001</v>
      </c>
      <c r="I38" s="9">
        <v>0</v>
      </c>
      <c r="J38" s="9">
        <v>12346908.960000001</v>
      </c>
      <c r="K38" s="8">
        <f t="shared" si="3"/>
        <v>12346908.960000001</v>
      </c>
      <c r="L38" s="9">
        <v>0</v>
      </c>
      <c r="M38" s="9">
        <v>11144761.439999999</v>
      </c>
      <c r="N38" s="8">
        <f t="shared" si="4"/>
        <v>11144761.439999999</v>
      </c>
    </row>
    <row r="39" spans="1:16" ht="14.4" x14ac:dyDescent="0.3">
      <c r="A39" s="32">
        <f t="shared" si="0"/>
        <v>37</v>
      </c>
      <c r="B39" s="23" t="s">
        <v>38</v>
      </c>
      <c r="C39" s="8">
        <v>0</v>
      </c>
      <c r="D39" s="8">
        <v>12120</v>
      </c>
      <c r="E39" s="8">
        <f t="shared" si="1"/>
        <v>12120</v>
      </c>
      <c r="F39" s="9">
        <v>0</v>
      </c>
      <c r="G39" s="9">
        <v>0</v>
      </c>
      <c r="H39" s="8">
        <f t="shared" si="2"/>
        <v>0</v>
      </c>
      <c r="I39" s="9">
        <v>0</v>
      </c>
      <c r="J39" s="9">
        <v>24664.05</v>
      </c>
      <c r="K39" s="8">
        <f t="shared" si="3"/>
        <v>24664.05</v>
      </c>
      <c r="L39" s="9">
        <v>0</v>
      </c>
      <c r="M39" s="9">
        <v>79170</v>
      </c>
      <c r="N39" s="8">
        <f t="shared" si="4"/>
        <v>79170</v>
      </c>
    </row>
    <row r="40" spans="1:16" ht="14.4" x14ac:dyDescent="0.3">
      <c r="A40" s="32">
        <f t="shared" si="0"/>
        <v>38</v>
      </c>
      <c r="B40" s="25" t="s">
        <v>39</v>
      </c>
      <c r="C40" s="14">
        <f>SUM(C3:C39)</f>
        <v>8317902</v>
      </c>
      <c r="D40" s="14">
        <f>SUM(D3:D39)</f>
        <v>122608274.08999999</v>
      </c>
      <c r="E40" s="14">
        <f>SUM(E3:E39)</f>
        <v>114290372.08999999</v>
      </c>
      <c r="F40" s="14" cm="1">
        <f t="array" ref="F40">SUM(-F3:F39)</f>
        <v>-2066987.26</v>
      </c>
      <c r="G40" s="14">
        <f>SUM(G3:G39)</f>
        <v>113330573.66</v>
      </c>
      <c r="H40" s="14">
        <f>SUM(H3:H39)</f>
        <v>111263586.40000001</v>
      </c>
      <c r="I40" s="14" cm="1">
        <f t="array" ref="I40">SUM(-I3:I39)</f>
        <v>-7378028.2000000002</v>
      </c>
      <c r="J40" s="14">
        <f>SUM(J3:J39)</f>
        <v>125648642.92999999</v>
      </c>
      <c r="K40" s="14">
        <f>SUM(K3:K39)</f>
        <v>118270614.72999997</v>
      </c>
      <c r="L40" s="14" cm="1">
        <f t="array" ref="L40">SUM(-L3:L39)</f>
        <v>0</v>
      </c>
      <c r="M40" s="14">
        <f>SUM(M3:M39)</f>
        <v>117352564.81999999</v>
      </c>
      <c r="N40" s="14">
        <f>SUM(N3:N39)</f>
        <v>117352564.81999999</v>
      </c>
      <c r="O40">
        <v>118971729</v>
      </c>
      <c r="P40" s="44">
        <f>O40-N40</f>
        <v>1619164.1800000072</v>
      </c>
    </row>
    <row r="41" spans="1:16" ht="14.4" x14ac:dyDescent="0.3">
      <c r="A41" s="32">
        <f t="shared" si="0"/>
        <v>39</v>
      </c>
      <c r="C41" s="8"/>
      <c r="D41" s="8"/>
      <c r="E41" s="8"/>
      <c r="F41" s="9"/>
      <c r="G41" s="9"/>
      <c r="H41" s="9"/>
      <c r="I41" s="9"/>
      <c r="J41" s="9"/>
      <c r="K41" s="9"/>
      <c r="L41" s="9"/>
      <c r="M41" s="9"/>
      <c r="N41" s="9"/>
    </row>
    <row r="42" spans="1:16" ht="14.4" x14ac:dyDescent="0.3">
      <c r="A42" s="32">
        <f t="shared" si="0"/>
        <v>40</v>
      </c>
      <c r="B42" s="23" t="s">
        <v>40</v>
      </c>
      <c r="C42" s="8">
        <v>0</v>
      </c>
      <c r="D42" s="8">
        <v>0</v>
      </c>
      <c r="E42" s="8">
        <f t="shared" ref="E42:E68" si="5">-C42+D42</f>
        <v>0</v>
      </c>
      <c r="F42" s="9">
        <v>0</v>
      </c>
      <c r="G42" s="9">
        <v>0</v>
      </c>
      <c r="H42" s="8">
        <f t="shared" ref="H42:H68" si="6">-F42+G42</f>
        <v>0</v>
      </c>
      <c r="I42" s="9">
        <v>0</v>
      </c>
      <c r="J42" s="9">
        <v>0</v>
      </c>
      <c r="K42" s="8">
        <f>-I42+J42</f>
        <v>0</v>
      </c>
      <c r="L42" s="9">
        <v>0</v>
      </c>
      <c r="M42" s="9">
        <v>0</v>
      </c>
      <c r="N42" s="8">
        <f t="shared" ref="N42:N68" si="7">-L42+M42</f>
        <v>0</v>
      </c>
    </row>
    <row r="43" spans="1:16" ht="14.4" x14ac:dyDescent="0.3">
      <c r="A43" s="32">
        <f t="shared" si="0"/>
        <v>41</v>
      </c>
      <c r="B43" s="23" t="s">
        <v>41</v>
      </c>
      <c r="C43" s="8">
        <v>0</v>
      </c>
      <c r="D43" s="8">
        <v>0</v>
      </c>
      <c r="E43" s="8">
        <f t="shared" si="5"/>
        <v>0</v>
      </c>
      <c r="F43" s="9">
        <v>0</v>
      </c>
      <c r="G43" s="9">
        <v>0</v>
      </c>
      <c r="H43" s="8">
        <f t="shared" si="6"/>
        <v>0</v>
      </c>
      <c r="I43" s="9">
        <v>0</v>
      </c>
      <c r="J43" s="9">
        <v>0</v>
      </c>
      <c r="K43" s="8">
        <f t="shared" ref="K43:K68" si="8">-I43+J43</f>
        <v>0</v>
      </c>
      <c r="L43" s="9">
        <v>0</v>
      </c>
      <c r="M43" s="9">
        <v>0</v>
      </c>
      <c r="N43" s="8">
        <f t="shared" si="7"/>
        <v>0</v>
      </c>
    </row>
    <row r="44" spans="1:16" ht="14.4" x14ac:dyDescent="0.3">
      <c r="A44" s="32">
        <f t="shared" si="0"/>
        <v>42</v>
      </c>
      <c r="B44" s="23" t="s">
        <v>42</v>
      </c>
      <c r="C44" s="8">
        <v>0</v>
      </c>
      <c r="D44" s="8">
        <v>0</v>
      </c>
      <c r="E44" s="8">
        <f t="shared" si="5"/>
        <v>0</v>
      </c>
      <c r="F44" s="9">
        <v>0</v>
      </c>
      <c r="G44" s="9">
        <v>0</v>
      </c>
      <c r="H44" s="8">
        <f t="shared" si="6"/>
        <v>0</v>
      </c>
      <c r="I44" s="9">
        <v>0</v>
      </c>
      <c r="J44" s="9">
        <v>0</v>
      </c>
      <c r="K44" s="8">
        <f t="shared" si="8"/>
        <v>0</v>
      </c>
      <c r="L44" s="9">
        <v>0</v>
      </c>
      <c r="M44" s="9">
        <v>0</v>
      </c>
      <c r="N44" s="8">
        <f t="shared" si="7"/>
        <v>0</v>
      </c>
    </row>
    <row r="45" spans="1:16" ht="14.4" x14ac:dyDescent="0.3">
      <c r="A45" s="32">
        <f t="shared" si="0"/>
        <v>43</v>
      </c>
      <c r="B45" s="23" t="s">
        <v>43</v>
      </c>
      <c r="C45" s="8">
        <v>0</v>
      </c>
      <c r="D45" s="8">
        <v>0</v>
      </c>
      <c r="E45" s="8">
        <f t="shared" si="5"/>
        <v>0</v>
      </c>
      <c r="F45" s="9">
        <v>0</v>
      </c>
      <c r="G45" s="9">
        <v>0</v>
      </c>
      <c r="H45" s="8">
        <f t="shared" si="6"/>
        <v>0</v>
      </c>
      <c r="I45" s="9">
        <v>0</v>
      </c>
      <c r="J45" s="9">
        <v>0</v>
      </c>
      <c r="K45" s="8">
        <f t="shared" si="8"/>
        <v>0</v>
      </c>
      <c r="L45" s="9">
        <v>0</v>
      </c>
      <c r="M45" s="9">
        <v>0</v>
      </c>
      <c r="N45" s="8">
        <f t="shared" si="7"/>
        <v>0</v>
      </c>
    </row>
    <row r="46" spans="1:16" ht="14.4" x14ac:dyDescent="0.3">
      <c r="A46" s="32">
        <f t="shared" si="0"/>
        <v>44</v>
      </c>
      <c r="B46" s="23" t="s">
        <v>44</v>
      </c>
      <c r="C46" s="8">
        <v>0</v>
      </c>
      <c r="D46" s="8">
        <v>0</v>
      </c>
      <c r="E46" s="8">
        <f t="shared" si="5"/>
        <v>0</v>
      </c>
      <c r="F46" s="9">
        <v>0</v>
      </c>
      <c r="G46" s="9">
        <v>0</v>
      </c>
      <c r="H46" s="8">
        <f t="shared" si="6"/>
        <v>0</v>
      </c>
      <c r="I46" s="9">
        <v>0</v>
      </c>
      <c r="J46" s="9">
        <v>0</v>
      </c>
      <c r="K46" s="8">
        <f t="shared" si="8"/>
        <v>0</v>
      </c>
      <c r="L46" s="9">
        <v>0</v>
      </c>
      <c r="M46" s="9">
        <v>0</v>
      </c>
      <c r="N46" s="8">
        <f t="shared" si="7"/>
        <v>0</v>
      </c>
    </row>
    <row r="47" spans="1:16" ht="14.4" x14ac:dyDescent="0.3">
      <c r="A47" s="32">
        <f t="shared" si="0"/>
        <v>45</v>
      </c>
      <c r="B47" s="23" t="s">
        <v>45</v>
      </c>
      <c r="C47" s="8">
        <v>0</v>
      </c>
      <c r="D47" s="8">
        <v>0</v>
      </c>
      <c r="E47" s="8">
        <f t="shared" si="5"/>
        <v>0</v>
      </c>
      <c r="F47" s="9">
        <v>0</v>
      </c>
      <c r="G47" s="9">
        <v>0</v>
      </c>
      <c r="H47" s="8">
        <f t="shared" si="6"/>
        <v>0</v>
      </c>
      <c r="I47" s="9">
        <v>0</v>
      </c>
      <c r="J47" s="9">
        <v>0</v>
      </c>
      <c r="K47" s="8">
        <f t="shared" si="8"/>
        <v>0</v>
      </c>
      <c r="L47" s="9">
        <v>0</v>
      </c>
      <c r="M47" s="9">
        <v>0</v>
      </c>
      <c r="N47" s="8">
        <f t="shared" si="7"/>
        <v>0</v>
      </c>
    </row>
    <row r="48" spans="1:16" ht="14.4" x14ac:dyDescent="0.3">
      <c r="A48" s="32">
        <f t="shared" si="0"/>
        <v>46</v>
      </c>
      <c r="B48" s="23" t="s">
        <v>46</v>
      </c>
      <c r="C48" s="8">
        <v>0</v>
      </c>
      <c r="D48" s="8">
        <v>0</v>
      </c>
      <c r="E48" s="8">
        <f t="shared" si="5"/>
        <v>0</v>
      </c>
      <c r="F48" s="9">
        <v>0</v>
      </c>
      <c r="G48" s="9">
        <v>0</v>
      </c>
      <c r="H48" s="8">
        <f t="shared" si="6"/>
        <v>0</v>
      </c>
      <c r="I48" s="9">
        <v>0</v>
      </c>
      <c r="J48" s="9">
        <v>0</v>
      </c>
      <c r="K48" s="8">
        <f t="shared" si="8"/>
        <v>0</v>
      </c>
      <c r="L48" s="9">
        <v>0</v>
      </c>
      <c r="M48" s="9">
        <v>0</v>
      </c>
      <c r="N48" s="8">
        <f t="shared" si="7"/>
        <v>0</v>
      </c>
    </row>
    <row r="49" spans="1:14" ht="14.4" x14ac:dyDescent="0.3">
      <c r="A49" s="32">
        <f t="shared" si="0"/>
        <v>47</v>
      </c>
      <c r="B49" s="23" t="s">
        <v>47</v>
      </c>
      <c r="C49" s="8">
        <v>0</v>
      </c>
      <c r="D49" s="8">
        <v>0</v>
      </c>
      <c r="E49" s="8">
        <f t="shared" si="5"/>
        <v>0</v>
      </c>
      <c r="F49" s="9">
        <v>0</v>
      </c>
      <c r="G49" s="9">
        <v>0</v>
      </c>
      <c r="H49" s="8">
        <f t="shared" si="6"/>
        <v>0</v>
      </c>
      <c r="I49" s="9">
        <v>0</v>
      </c>
      <c r="J49" s="9">
        <v>0</v>
      </c>
      <c r="K49" s="8">
        <f t="shared" si="8"/>
        <v>0</v>
      </c>
      <c r="L49" s="9">
        <v>0</v>
      </c>
      <c r="M49" s="9">
        <v>0</v>
      </c>
      <c r="N49" s="8">
        <f t="shared" si="7"/>
        <v>0</v>
      </c>
    </row>
    <row r="50" spans="1:14" ht="14.4" x14ac:dyDescent="0.3">
      <c r="A50" s="32">
        <f t="shared" si="0"/>
        <v>48</v>
      </c>
      <c r="B50" s="23" t="s">
        <v>48</v>
      </c>
      <c r="C50" s="8">
        <v>0</v>
      </c>
      <c r="D50" s="8">
        <v>0</v>
      </c>
      <c r="E50" s="8">
        <f t="shared" si="5"/>
        <v>0</v>
      </c>
      <c r="F50" s="9">
        <v>0</v>
      </c>
      <c r="G50" s="9">
        <v>0</v>
      </c>
      <c r="H50" s="8">
        <f t="shared" si="6"/>
        <v>0</v>
      </c>
      <c r="I50" s="9">
        <v>0</v>
      </c>
      <c r="J50" s="9">
        <v>0</v>
      </c>
      <c r="K50" s="8">
        <f t="shared" si="8"/>
        <v>0</v>
      </c>
      <c r="L50" s="9">
        <v>0</v>
      </c>
      <c r="M50" s="9">
        <v>0</v>
      </c>
      <c r="N50" s="8">
        <f t="shared" si="7"/>
        <v>0</v>
      </c>
    </row>
    <row r="51" spans="1:14" ht="14.4" x14ac:dyDescent="0.3">
      <c r="A51" s="32">
        <f t="shared" si="0"/>
        <v>49</v>
      </c>
      <c r="B51" s="23" t="s">
        <v>49</v>
      </c>
      <c r="C51" s="8">
        <v>0</v>
      </c>
      <c r="D51" s="8">
        <v>0</v>
      </c>
      <c r="E51" s="8">
        <f t="shared" si="5"/>
        <v>0</v>
      </c>
      <c r="F51" s="9">
        <v>0</v>
      </c>
      <c r="G51" s="9">
        <v>0</v>
      </c>
      <c r="H51" s="8">
        <f t="shared" si="6"/>
        <v>0</v>
      </c>
      <c r="I51" s="9">
        <v>0</v>
      </c>
      <c r="J51" s="9">
        <v>0</v>
      </c>
      <c r="K51" s="8">
        <f t="shared" si="8"/>
        <v>0</v>
      </c>
      <c r="L51" s="9">
        <v>0</v>
      </c>
      <c r="M51" s="9">
        <v>0</v>
      </c>
      <c r="N51" s="8">
        <f t="shared" si="7"/>
        <v>0</v>
      </c>
    </row>
    <row r="52" spans="1:14" ht="14.4" x14ac:dyDescent="0.3">
      <c r="A52" s="32">
        <f t="shared" si="0"/>
        <v>50</v>
      </c>
      <c r="B52" s="23" t="s">
        <v>50</v>
      </c>
      <c r="C52" s="8">
        <v>0</v>
      </c>
      <c r="D52" s="8">
        <v>0</v>
      </c>
      <c r="E52" s="8">
        <f t="shared" si="5"/>
        <v>0</v>
      </c>
      <c r="F52" s="9">
        <v>0</v>
      </c>
      <c r="G52" s="9">
        <v>0</v>
      </c>
      <c r="H52" s="8">
        <f t="shared" si="6"/>
        <v>0</v>
      </c>
      <c r="I52" s="9">
        <v>0</v>
      </c>
      <c r="J52" s="9">
        <v>0</v>
      </c>
      <c r="K52" s="8">
        <f t="shared" si="8"/>
        <v>0</v>
      </c>
      <c r="L52" s="9">
        <v>0</v>
      </c>
      <c r="M52" s="9">
        <v>0</v>
      </c>
      <c r="N52" s="8">
        <f t="shared" si="7"/>
        <v>0</v>
      </c>
    </row>
    <row r="53" spans="1:14" ht="14.4" x14ac:dyDescent="0.3">
      <c r="A53" s="32">
        <f t="shared" si="0"/>
        <v>51</v>
      </c>
      <c r="B53" s="23" t="s">
        <v>51</v>
      </c>
      <c r="C53" s="8">
        <v>0</v>
      </c>
      <c r="D53" s="8">
        <v>0</v>
      </c>
      <c r="E53" s="8">
        <f t="shared" si="5"/>
        <v>0</v>
      </c>
      <c r="F53" s="9">
        <v>0</v>
      </c>
      <c r="G53" s="9">
        <v>0</v>
      </c>
      <c r="H53" s="8">
        <f t="shared" si="6"/>
        <v>0</v>
      </c>
      <c r="I53" s="9">
        <v>0</v>
      </c>
      <c r="J53" s="9">
        <v>0</v>
      </c>
      <c r="K53" s="8">
        <f t="shared" si="8"/>
        <v>0</v>
      </c>
      <c r="L53" s="9">
        <v>0</v>
      </c>
      <c r="M53" s="9">
        <v>0</v>
      </c>
      <c r="N53" s="8">
        <f t="shared" si="7"/>
        <v>0</v>
      </c>
    </row>
    <row r="54" spans="1:14" ht="14.4" x14ac:dyDescent="0.3">
      <c r="A54" s="32">
        <f t="shared" si="0"/>
        <v>52</v>
      </c>
      <c r="B54" s="23" t="s">
        <v>52</v>
      </c>
      <c r="C54" s="8">
        <v>0</v>
      </c>
      <c r="D54" s="8">
        <v>0</v>
      </c>
      <c r="E54" s="8">
        <f t="shared" si="5"/>
        <v>0</v>
      </c>
      <c r="F54" s="9">
        <v>0</v>
      </c>
      <c r="G54" s="9">
        <v>0</v>
      </c>
      <c r="H54" s="8">
        <f t="shared" si="6"/>
        <v>0</v>
      </c>
      <c r="I54" s="9">
        <v>0</v>
      </c>
      <c r="J54" s="9">
        <v>0</v>
      </c>
      <c r="K54" s="8">
        <f t="shared" si="8"/>
        <v>0</v>
      </c>
      <c r="L54" s="9">
        <v>0</v>
      </c>
      <c r="M54" s="9">
        <v>0</v>
      </c>
      <c r="N54" s="8">
        <f t="shared" si="7"/>
        <v>0</v>
      </c>
    </row>
    <row r="55" spans="1:14" ht="14.4" x14ac:dyDescent="0.3">
      <c r="A55" s="32">
        <f t="shared" si="0"/>
        <v>53</v>
      </c>
      <c r="B55" s="23" t="s">
        <v>53</v>
      </c>
      <c r="C55" s="8">
        <v>0</v>
      </c>
      <c r="D55" s="8">
        <v>0</v>
      </c>
      <c r="E55" s="8">
        <f t="shared" si="5"/>
        <v>0</v>
      </c>
      <c r="F55" s="9">
        <v>0</v>
      </c>
      <c r="G55" s="9">
        <v>0</v>
      </c>
      <c r="H55" s="8">
        <f t="shared" si="6"/>
        <v>0</v>
      </c>
      <c r="I55" s="9">
        <v>0</v>
      </c>
      <c r="J55" s="9">
        <v>0</v>
      </c>
      <c r="K55" s="8">
        <f t="shared" si="8"/>
        <v>0</v>
      </c>
      <c r="L55" s="9">
        <v>0</v>
      </c>
      <c r="M55" s="9">
        <v>0</v>
      </c>
      <c r="N55" s="8">
        <f t="shared" si="7"/>
        <v>0</v>
      </c>
    </row>
    <row r="56" spans="1:14" ht="14.4" x14ac:dyDescent="0.3">
      <c r="A56" s="32">
        <f t="shared" si="0"/>
        <v>54</v>
      </c>
      <c r="B56" s="23" t="s">
        <v>54</v>
      </c>
      <c r="C56" s="8">
        <v>0</v>
      </c>
      <c r="D56" s="8">
        <v>0</v>
      </c>
      <c r="E56" s="8">
        <f t="shared" si="5"/>
        <v>0</v>
      </c>
      <c r="F56" s="9">
        <v>0</v>
      </c>
      <c r="G56" s="9">
        <v>0</v>
      </c>
      <c r="H56" s="8">
        <f t="shared" si="6"/>
        <v>0</v>
      </c>
      <c r="I56" s="9">
        <v>0</v>
      </c>
      <c r="J56" s="9">
        <v>0</v>
      </c>
      <c r="K56" s="8">
        <f t="shared" si="8"/>
        <v>0</v>
      </c>
      <c r="L56" s="9">
        <v>0</v>
      </c>
      <c r="M56" s="9">
        <v>0</v>
      </c>
      <c r="N56" s="8">
        <f t="shared" si="7"/>
        <v>0</v>
      </c>
    </row>
    <row r="57" spans="1:14" ht="14.4" x14ac:dyDescent="0.3">
      <c r="A57" s="32">
        <f t="shared" si="0"/>
        <v>55</v>
      </c>
      <c r="B57" s="23" t="s">
        <v>55</v>
      </c>
      <c r="C57" s="8">
        <v>0</v>
      </c>
      <c r="D57" s="8">
        <v>0</v>
      </c>
      <c r="E57" s="8">
        <f t="shared" si="5"/>
        <v>0</v>
      </c>
      <c r="F57" s="9">
        <v>0</v>
      </c>
      <c r="G57" s="9">
        <v>0</v>
      </c>
      <c r="H57" s="8">
        <f t="shared" si="6"/>
        <v>0</v>
      </c>
      <c r="I57" s="9">
        <v>0</v>
      </c>
      <c r="J57" s="9">
        <v>0</v>
      </c>
      <c r="K57" s="8">
        <f t="shared" si="8"/>
        <v>0</v>
      </c>
      <c r="L57" s="9">
        <v>0</v>
      </c>
      <c r="M57" s="9">
        <v>118400</v>
      </c>
      <c r="N57" s="8">
        <f t="shared" si="7"/>
        <v>118400</v>
      </c>
    </row>
    <row r="58" spans="1:14" ht="14.4" x14ac:dyDescent="0.3">
      <c r="A58" s="32">
        <f t="shared" si="0"/>
        <v>56</v>
      </c>
      <c r="B58" s="23" t="s">
        <v>56</v>
      </c>
      <c r="C58" s="8">
        <v>0</v>
      </c>
      <c r="D58" s="8">
        <v>0</v>
      </c>
      <c r="E58" s="8">
        <f t="shared" si="5"/>
        <v>0</v>
      </c>
      <c r="F58" s="9">
        <v>0</v>
      </c>
      <c r="G58" s="9">
        <v>0</v>
      </c>
      <c r="H58" s="8">
        <f t="shared" si="6"/>
        <v>0</v>
      </c>
      <c r="I58" s="9">
        <v>0</v>
      </c>
      <c r="J58" s="9">
        <v>0</v>
      </c>
      <c r="K58" s="8">
        <f t="shared" si="8"/>
        <v>0</v>
      </c>
      <c r="L58" s="9">
        <v>0</v>
      </c>
      <c r="M58" s="9">
        <v>0</v>
      </c>
      <c r="N58" s="8">
        <f t="shared" si="7"/>
        <v>0</v>
      </c>
    </row>
    <row r="59" spans="1:14" ht="14.4" x14ac:dyDescent="0.3">
      <c r="A59" s="32">
        <f t="shared" si="0"/>
        <v>57</v>
      </c>
      <c r="B59" s="23" t="s">
        <v>57</v>
      </c>
      <c r="C59" s="8">
        <v>0</v>
      </c>
      <c r="D59" s="8">
        <v>23310</v>
      </c>
      <c r="E59" s="8">
        <f t="shared" si="5"/>
        <v>23310</v>
      </c>
      <c r="F59" s="9">
        <v>0</v>
      </c>
      <c r="G59" s="9">
        <v>15540</v>
      </c>
      <c r="H59" s="8">
        <f t="shared" si="6"/>
        <v>15540</v>
      </c>
      <c r="I59" s="9">
        <v>0</v>
      </c>
      <c r="J59" s="9">
        <v>46620</v>
      </c>
      <c r="K59" s="8">
        <f t="shared" si="8"/>
        <v>46620</v>
      </c>
      <c r="L59" s="9">
        <v>0</v>
      </c>
      <c r="M59" s="9">
        <v>0</v>
      </c>
      <c r="N59" s="8">
        <f t="shared" si="7"/>
        <v>0</v>
      </c>
    </row>
    <row r="60" spans="1:14" ht="14.4" x14ac:dyDescent="0.3">
      <c r="A60" s="32">
        <f t="shared" si="0"/>
        <v>58</v>
      </c>
      <c r="B60" s="23" t="s">
        <v>58</v>
      </c>
      <c r="C60" s="8">
        <v>0</v>
      </c>
      <c r="D60" s="8">
        <v>0</v>
      </c>
      <c r="E60" s="8">
        <f t="shared" si="5"/>
        <v>0</v>
      </c>
      <c r="F60" s="9">
        <v>0</v>
      </c>
      <c r="G60" s="9">
        <v>0</v>
      </c>
      <c r="H60" s="8">
        <f t="shared" si="6"/>
        <v>0</v>
      </c>
      <c r="I60" s="9">
        <v>0</v>
      </c>
      <c r="J60" s="9">
        <v>0</v>
      </c>
      <c r="K60" s="8">
        <f t="shared" si="8"/>
        <v>0</v>
      </c>
      <c r="L60" s="9">
        <v>0</v>
      </c>
      <c r="M60" s="9">
        <v>0</v>
      </c>
      <c r="N60" s="8">
        <f t="shared" si="7"/>
        <v>0</v>
      </c>
    </row>
    <row r="61" spans="1:14" ht="14.4" x14ac:dyDescent="0.3">
      <c r="A61" s="32">
        <f t="shared" si="0"/>
        <v>59</v>
      </c>
      <c r="B61" s="23" t="s">
        <v>59</v>
      </c>
      <c r="C61" s="8">
        <v>0</v>
      </c>
      <c r="D61" s="8">
        <v>0</v>
      </c>
      <c r="E61" s="8">
        <f t="shared" si="5"/>
        <v>0</v>
      </c>
      <c r="F61" s="9">
        <v>0</v>
      </c>
      <c r="G61" s="9">
        <v>0</v>
      </c>
      <c r="H61" s="8">
        <f t="shared" si="6"/>
        <v>0</v>
      </c>
      <c r="I61" s="9">
        <v>0</v>
      </c>
      <c r="J61" s="9">
        <v>0</v>
      </c>
      <c r="K61" s="8">
        <f t="shared" si="8"/>
        <v>0</v>
      </c>
      <c r="L61" s="9">
        <v>0</v>
      </c>
      <c r="M61" s="9">
        <v>0</v>
      </c>
      <c r="N61" s="8">
        <f t="shared" si="7"/>
        <v>0</v>
      </c>
    </row>
    <row r="62" spans="1:14" ht="14.4" x14ac:dyDescent="0.3">
      <c r="A62" s="32">
        <f t="shared" si="0"/>
        <v>60</v>
      </c>
      <c r="B62" s="23" t="s">
        <v>60</v>
      </c>
      <c r="C62" s="8">
        <v>0</v>
      </c>
      <c r="D62" s="8">
        <v>0</v>
      </c>
      <c r="E62" s="8">
        <f t="shared" si="5"/>
        <v>0</v>
      </c>
      <c r="F62" s="9">
        <v>0</v>
      </c>
      <c r="G62" s="9">
        <v>0</v>
      </c>
      <c r="H62" s="8">
        <f t="shared" si="6"/>
        <v>0</v>
      </c>
      <c r="I62" s="9">
        <v>0</v>
      </c>
      <c r="J62" s="9">
        <v>0</v>
      </c>
      <c r="K62" s="8">
        <f t="shared" si="8"/>
        <v>0</v>
      </c>
      <c r="L62" s="9">
        <v>0</v>
      </c>
      <c r="M62" s="9">
        <v>0</v>
      </c>
      <c r="N62" s="8">
        <f t="shared" si="7"/>
        <v>0</v>
      </c>
    </row>
    <row r="63" spans="1:14" ht="14.4" x14ac:dyDescent="0.3">
      <c r="A63" s="32">
        <f t="shared" si="0"/>
        <v>61</v>
      </c>
      <c r="B63" s="23" t="s">
        <v>61</v>
      </c>
      <c r="C63" s="8">
        <v>0</v>
      </c>
      <c r="D63" s="8">
        <v>0</v>
      </c>
      <c r="E63" s="8">
        <f t="shared" si="5"/>
        <v>0</v>
      </c>
      <c r="F63" s="9">
        <v>0</v>
      </c>
      <c r="G63" s="9">
        <v>0</v>
      </c>
      <c r="H63" s="8">
        <f t="shared" si="6"/>
        <v>0</v>
      </c>
      <c r="I63" s="9">
        <v>0</v>
      </c>
      <c r="J63" s="9">
        <v>0</v>
      </c>
      <c r="K63" s="8">
        <f t="shared" si="8"/>
        <v>0</v>
      </c>
      <c r="L63" s="9">
        <v>0</v>
      </c>
      <c r="M63" s="9">
        <v>0</v>
      </c>
      <c r="N63" s="8">
        <f t="shared" si="7"/>
        <v>0</v>
      </c>
    </row>
    <row r="64" spans="1:14" ht="14.4" x14ac:dyDescent="0.3">
      <c r="A64" s="32">
        <f t="shared" si="0"/>
        <v>62</v>
      </c>
      <c r="B64" s="23" t="s">
        <v>62</v>
      </c>
      <c r="C64" s="8">
        <v>0</v>
      </c>
      <c r="D64" s="8">
        <v>0</v>
      </c>
      <c r="E64" s="8">
        <f t="shared" si="5"/>
        <v>0</v>
      </c>
      <c r="F64" s="9">
        <v>0</v>
      </c>
      <c r="G64" s="9">
        <v>0</v>
      </c>
      <c r="H64" s="8">
        <f t="shared" si="6"/>
        <v>0</v>
      </c>
      <c r="I64" s="9">
        <v>0</v>
      </c>
      <c r="J64" s="9">
        <v>0</v>
      </c>
      <c r="K64" s="8">
        <f t="shared" si="8"/>
        <v>0</v>
      </c>
      <c r="L64" s="9">
        <v>0</v>
      </c>
      <c r="M64" s="9">
        <v>0</v>
      </c>
      <c r="N64" s="8">
        <f t="shared" si="7"/>
        <v>0</v>
      </c>
    </row>
    <row r="65" spans="1:14" ht="14.4" x14ac:dyDescent="0.3">
      <c r="A65" s="32">
        <f t="shared" si="0"/>
        <v>63</v>
      </c>
      <c r="B65" s="23" t="s">
        <v>63</v>
      </c>
      <c r="C65" s="8">
        <v>0</v>
      </c>
      <c r="D65" s="8">
        <v>0</v>
      </c>
      <c r="E65" s="8">
        <f t="shared" si="5"/>
        <v>0</v>
      </c>
      <c r="F65" s="9">
        <v>0</v>
      </c>
      <c r="G65" s="9">
        <v>0</v>
      </c>
      <c r="H65" s="8">
        <f t="shared" si="6"/>
        <v>0</v>
      </c>
      <c r="I65" s="9">
        <v>0</v>
      </c>
      <c r="J65" s="9">
        <v>0</v>
      </c>
      <c r="K65" s="8">
        <f t="shared" si="8"/>
        <v>0</v>
      </c>
      <c r="L65" s="9">
        <v>0</v>
      </c>
      <c r="M65" s="9">
        <v>0</v>
      </c>
      <c r="N65" s="8">
        <f t="shared" si="7"/>
        <v>0</v>
      </c>
    </row>
    <row r="66" spans="1:14" ht="14.4" x14ac:dyDescent="0.3">
      <c r="A66" s="32">
        <f t="shared" si="0"/>
        <v>64</v>
      </c>
      <c r="B66" s="23" t="s">
        <v>64</v>
      </c>
      <c r="C66" s="8">
        <v>0</v>
      </c>
      <c r="D66" s="8">
        <v>0</v>
      </c>
      <c r="E66" s="8">
        <f t="shared" si="5"/>
        <v>0</v>
      </c>
      <c r="F66" s="9">
        <v>0</v>
      </c>
      <c r="G66" s="9">
        <v>0</v>
      </c>
      <c r="H66" s="8">
        <f t="shared" si="6"/>
        <v>0</v>
      </c>
      <c r="I66" s="9">
        <v>0</v>
      </c>
      <c r="J66" s="9">
        <v>0</v>
      </c>
      <c r="K66" s="8">
        <f t="shared" si="8"/>
        <v>0</v>
      </c>
      <c r="L66" s="9">
        <v>0</v>
      </c>
      <c r="M66" s="9">
        <v>0</v>
      </c>
      <c r="N66" s="8">
        <f t="shared" si="7"/>
        <v>0</v>
      </c>
    </row>
    <row r="67" spans="1:14" ht="14.4" x14ac:dyDescent="0.3">
      <c r="A67" s="32">
        <f t="shared" si="0"/>
        <v>65</v>
      </c>
      <c r="B67" s="23" t="s">
        <v>65</v>
      </c>
      <c r="C67" s="8">
        <v>0</v>
      </c>
      <c r="D67" s="8">
        <v>0</v>
      </c>
      <c r="E67" s="8">
        <f t="shared" si="5"/>
        <v>0</v>
      </c>
      <c r="F67" s="9">
        <v>0</v>
      </c>
      <c r="G67" s="9">
        <v>0</v>
      </c>
      <c r="H67" s="8">
        <f t="shared" si="6"/>
        <v>0</v>
      </c>
      <c r="I67" s="9">
        <v>0</v>
      </c>
      <c r="J67" s="9">
        <v>0</v>
      </c>
      <c r="K67" s="8">
        <f t="shared" si="8"/>
        <v>0</v>
      </c>
      <c r="L67" s="9">
        <v>0</v>
      </c>
      <c r="M67" s="9">
        <v>0</v>
      </c>
      <c r="N67" s="8">
        <f t="shared" si="7"/>
        <v>0</v>
      </c>
    </row>
    <row r="68" spans="1:14" ht="14.4" x14ac:dyDescent="0.3">
      <c r="A68" s="32">
        <f t="shared" si="0"/>
        <v>66</v>
      </c>
      <c r="B68" s="23" t="s">
        <v>66</v>
      </c>
      <c r="C68" s="8">
        <v>0</v>
      </c>
      <c r="D68" s="8">
        <v>0</v>
      </c>
      <c r="E68" s="8">
        <f t="shared" si="5"/>
        <v>0</v>
      </c>
      <c r="F68" s="9">
        <v>0</v>
      </c>
      <c r="G68" s="9">
        <v>0</v>
      </c>
      <c r="H68" s="8">
        <f t="shared" si="6"/>
        <v>0</v>
      </c>
      <c r="I68" s="9">
        <v>0</v>
      </c>
      <c r="J68" s="9">
        <v>0</v>
      </c>
      <c r="K68" s="8">
        <f t="shared" si="8"/>
        <v>0</v>
      </c>
      <c r="L68" s="9">
        <v>0</v>
      </c>
      <c r="M68" s="9">
        <v>0</v>
      </c>
      <c r="N68" s="8">
        <f t="shared" si="7"/>
        <v>0</v>
      </c>
    </row>
    <row r="69" spans="1:14" ht="14.4" x14ac:dyDescent="0.3">
      <c r="A69" s="32">
        <f t="shared" ref="A69:A132" si="9">A68+1</f>
        <v>67</v>
      </c>
      <c r="B69" s="25" t="s">
        <v>67</v>
      </c>
      <c r="C69" s="15">
        <v>0</v>
      </c>
      <c r="D69" s="14">
        <f>SUM(D42:D68)</f>
        <v>23310</v>
      </c>
      <c r="E69" s="14">
        <f>SUM(E42:E68)</f>
        <v>23310</v>
      </c>
      <c r="F69" s="15">
        <v>0</v>
      </c>
      <c r="G69" s="14">
        <f>SUM(G42:G68)</f>
        <v>15540</v>
      </c>
      <c r="H69" s="14">
        <f>SUM(H42:H68)</f>
        <v>15540</v>
      </c>
      <c r="I69" s="15">
        <v>0</v>
      </c>
      <c r="J69" s="14">
        <f>SUM(J42:J68)</f>
        <v>46620</v>
      </c>
      <c r="K69" s="14">
        <f>SUM(K42:K68)</f>
        <v>46620</v>
      </c>
      <c r="L69" s="16">
        <v>0</v>
      </c>
      <c r="M69" s="16">
        <v>0</v>
      </c>
      <c r="N69" s="14">
        <f>SUM(N42:N68)</f>
        <v>118400</v>
      </c>
    </row>
    <row r="70" spans="1:14" ht="14.4" x14ac:dyDescent="0.3">
      <c r="A70" s="32">
        <f t="shared" si="9"/>
        <v>68</v>
      </c>
      <c r="C70" s="8"/>
      <c r="D70" s="8"/>
      <c r="E70" s="8"/>
      <c r="F70" s="9"/>
      <c r="G70" s="9"/>
      <c r="H70" s="9"/>
      <c r="I70" s="9"/>
      <c r="J70" s="9"/>
      <c r="K70" s="9"/>
      <c r="L70" s="9"/>
      <c r="M70" s="9"/>
      <c r="N70" s="9"/>
    </row>
    <row r="71" spans="1:14" ht="14.4" x14ac:dyDescent="0.3">
      <c r="A71" s="32">
        <f t="shared" si="9"/>
        <v>69</v>
      </c>
      <c r="B71" s="23" t="s">
        <v>69</v>
      </c>
      <c r="C71" s="8">
        <v>0</v>
      </c>
      <c r="D71" s="8">
        <v>0</v>
      </c>
      <c r="E71" s="8">
        <f t="shared" ref="E71:E84" si="10">-C71+D71</f>
        <v>0</v>
      </c>
      <c r="F71" s="9">
        <v>0</v>
      </c>
      <c r="G71" s="9">
        <v>0</v>
      </c>
      <c r="H71" s="8">
        <f t="shared" ref="H71:H84" si="11">-F71+G71</f>
        <v>0</v>
      </c>
      <c r="I71" s="9">
        <v>0</v>
      </c>
      <c r="J71" s="9">
        <v>0</v>
      </c>
      <c r="K71" s="8">
        <f t="shared" ref="K71:K84" si="12">-I71+J71</f>
        <v>0</v>
      </c>
      <c r="L71" s="9">
        <v>0</v>
      </c>
      <c r="M71" s="9">
        <v>0</v>
      </c>
      <c r="N71" s="8">
        <f t="shared" ref="N71:N84" si="13">-L71+M71</f>
        <v>0</v>
      </c>
    </row>
    <row r="72" spans="1:14" ht="14.4" x14ac:dyDescent="0.3">
      <c r="A72" s="32">
        <f t="shared" si="9"/>
        <v>70</v>
      </c>
      <c r="B72" s="23" t="s">
        <v>70</v>
      </c>
      <c r="C72" s="8">
        <v>0</v>
      </c>
      <c r="D72" s="8">
        <v>0</v>
      </c>
      <c r="E72" s="8">
        <f t="shared" si="10"/>
        <v>0</v>
      </c>
      <c r="F72" s="9">
        <v>0</v>
      </c>
      <c r="G72" s="9">
        <v>0</v>
      </c>
      <c r="H72" s="8">
        <f t="shared" si="11"/>
        <v>0</v>
      </c>
      <c r="I72" s="9">
        <v>0</v>
      </c>
      <c r="J72" s="9">
        <v>0</v>
      </c>
      <c r="K72" s="8">
        <f t="shared" si="12"/>
        <v>0</v>
      </c>
      <c r="L72" s="9">
        <v>0</v>
      </c>
      <c r="M72" s="9">
        <v>1331906</v>
      </c>
      <c r="N72" s="8">
        <f t="shared" si="13"/>
        <v>1331906</v>
      </c>
    </row>
    <row r="73" spans="1:14" ht="14.4" x14ac:dyDescent="0.3">
      <c r="A73" s="32">
        <f t="shared" si="9"/>
        <v>71</v>
      </c>
      <c r="B73" s="23" t="s">
        <v>71</v>
      </c>
      <c r="C73" s="8">
        <v>0</v>
      </c>
      <c r="D73" s="8">
        <v>0</v>
      </c>
      <c r="E73" s="8">
        <f t="shared" si="10"/>
        <v>0</v>
      </c>
      <c r="F73" s="9">
        <v>0</v>
      </c>
      <c r="G73" s="9">
        <v>0</v>
      </c>
      <c r="H73" s="8">
        <f t="shared" si="11"/>
        <v>0</v>
      </c>
      <c r="I73" s="9">
        <v>0</v>
      </c>
      <c r="J73" s="9">
        <v>0</v>
      </c>
      <c r="K73" s="8">
        <f t="shared" si="12"/>
        <v>0</v>
      </c>
      <c r="L73" s="9">
        <v>0</v>
      </c>
      <c r="M73" s="9">
        <v>0</v>
      </c>
      <c r="N73" s="8">
        <f t="shared" si="13"/>
        <v>0</v>
      </c>
    </row>
    <row r="74" spans="1:14" ht="14.4" x14ac:dyDescent="0.3">
      <c r="A74" s="32">
        <f t="shared" si="9"/>
        <v>72</v>
      </c>
      <c r="B74" s="23" t="s">
        <v>72</v>
      </c>
      <c r="C74" s="8">
        <v>0</v>
      </c>
      <c r="D74" s="8">
        <v>0</v>
      </c>
      <c r="E74" s="8">
        <f t="shared" si="10"/>
        <v>0</v>
      </c>
      <c r="F74" s="9">
        <v>0</v>
      </c>
      <c r="G74" s="9">
        <v>0</v>
      </c>
      <c r="H74" s="8">
        <f t="shared" si="11"/>
        <v>0</v>
      </c>
      <c r="I74" s="9">
        <v>0</v>
      </c>
      <c r="J74" s="9">
        <v>0</v>
      </c>
      <c r="K74" s="8">
        <f t="shared" si="12"/>
        <v>0</v>
      </c>
      <c r="L74" s="9">
        <v>0</v>
      </c>
      <c r="M74" s="9">
        <v>0</v>
      </c>
      <c r="N74" s="8">
        <f t="shared" si="13"/>
        <v>0</v>
      </c>
    </row>
    <row r="75" spans="1:14" ht="14.4" x14ac:dyDescent="0.3">
      <c r="A75" s="32">
        <f t="shared" si="9"/>
        <v>73</v>
      </c>
      <c r="B75" s="23" t="s">
        <v>73</v>
      </c>
      <c r="C75" s="8">
        <v>0</v>
      </c>
      <c r="D75" s="8">
        <v>0</v>
      </c>
      <c r="E75" s="8">
        <f t="shared" si="10"/>
        <v>0</v>
      </c>
      <c r="F75" s="9">
        <v>0</v>
      </c>
      <c r="G75" s="9">
        <v>0</v>
      </c>
      <c r="H75" s="8">
        <f t="shared" si="11"/>
        <v>0</v>
      </c>
      <c r="I75" s="9">
        <v>0</v>
      </c>
      <c r="J75" s="9">
        <v>0</v>
      </c>
      <c r="K75" s="8">
        <f t="shared" si="12"/>
        <v>0</v>
      </c>
      <c r="L75" s="9">
        <v>0</v>
      </c>
      <c r="M75" s="9">
        <v>0</v>
      </c>
      <c r="N75" s="8">
        <f t="shared" si="13"/>
        <v>0</v>
      </c>
    </row>
    <row r="76" spans="1:14" ht="14.4" x14ac:dyDescent="0.3">
      <c r="A76" s="32">
        <f t="shared" si="9"/>
        <v>74</v>
      </c>
      <c r="B76" s="23" t="s">
        <v>74</v>
      </c>
      <c r="C76" s="8">
        <v>0</v>
      </c>
      <c r="D76" s="8">
        <v>0</v>
      </c>
      <c r="E76" s="8">
        <f t="shared" si="10"/>
        <v>0</v>
      </c>
      <c r="F76" s="9">
        <v>0</v>
      </c>
      <c r="G76" s="9">
        <v>0</v>
      </c>
      <c r="H76" s="8">
        <f t="shared" si="11"/>
        <v>0</v>
      </c>
      <c r="I76" s="9">
        <v>0</v>
      </c>
      <c r="J76" s="9">
        <v>0</v>
      </c>
      <c r="K76" s="8">
        <f t="shared" si="12"/>
        <v>0</v>
      </c>
      <c r="L76" s="9">
        <v>0</v>
      </c>
      <c r="M76" s="9">
        <v>0</v>
      </c>
      <c r="N76" s="8">
        <f t="shared" si="13"/>
        <v>0</v>
      </c>
    </row>
    <row r="77" spans="1:14" ht="14.4" x14ac:dyDescent="0.3">
      <c r="A77" s="32">
        <f t="shared" si="9"/>
        <v>75</v>
      </c>
      <c r="B77" s="23" t="s">
        <v>75</v>
      </c>
      <c r="C77" s="8">
        <v>0</v>
      </c>
      <c r="D77" s="8">
        <v>0</v>
      </c>
      <c r="E77" s="8">
        <f t="shared" si="10"/>
        <v>0</v>
      </c>
      <c r="F77" s="9">
        <v>0</v>
      </c>
      <c r="G77" s="9">
        <v>0</v>
      </c>
      <c r="H77" s="8">
        <f t="shared" si="11"/>
        <v>0</v>
      </c>
      <c r="I77" s="9">
        <v>0</v>
      </c>
      <c r="J77" s="9">
        <v>0</v>
      </c>
      <c r="K77" s="8">
        <f t="shared" si="12"/>
        <v>0</v>
      </c>
      <c r="L77" s="9">
        <v>0</v>
      </c>
      <c r="M77" s="9">
        <v>0</v>
      </c>
      <c r="N77" s="8">
        <f t="shared" si="13"/>
        <v>0</v>
      </c>
    </row>
    <row r="78" spans="1:14" ht="14.4" x14ac:dyDescent="0.3">
      <c r="A78" s="32">
        <f t="shared" si="9"/>
        <v>76</v>
      </c>
      <c r="B78" s="23" t="s">
        <v>68</v>
      </c>
      <c r="C78" s="8">
        <v>0</v>
      </c>
      <c r="D78" s="8">
        <v>0</v>
      </c>
      <c r="E78" s="8">
        <f t="shared" si="10"/>
        <v>0</v>
      </c>
      <c r="F78" s="9">
        <v>0</v>
      </c>
      <c r="G78" s="9">
        <v>0</v>
      </c>
      <c r="H78" s="8">
        <f t="shared" si="11"/>
        <v>0</v>
      </c>
      <c r="I78" s="9">
        <v>0</v>
      </c>
      <c r="J78" s="9">
        <v>0</v>
      </c>
      <c r="K78" s="8">
        <f t="shared" si="12"/>
        <v>0</v>
      </c>
      <c r="L78" s="9">
        <v>0</v>
      </c>
      <c r="M78" s="9">
        <v>0</v>
      </c>
      <c r="N78" s="8">
        <f t="shared" si="13"/>
        <v>0</v>
      </c>
    </row>
    <row r="79" spans="1:14" ht="14.4" x14ac:dyDescent="0.3">
      <c r="A79" s="32">
        <f t="shared" si="9"/>
        <v>77</v>
      </c>
      <c r="B79" s="23" t="s">
        <v>76</v>
      </c>
      <c r="C79" s="8">
        <v>0</v>
      </c>
      <c r="D79" s="8">
        <v>0</v>
      </c>
      <c r="E79" s="8">
        <f t="shared" si="10"/>
        <v>0</v>
      </c>
      <c r="F79" s="9">
        <v>0</v>
      </c>
      <c r="G79" s="9">
        <v>0</v>
      </c>
      <c r="H79" s="8">
        <f t="shared" si="11"/>
        <v>0</v>
      </c>
      <c r="I79" s="9">
        <v>0</v>
      </c>
      <c r="J79" s="9">
        <v>0</v>
      </c>
      <c r="K79" s="8">
        <f t="shared" si="12"/>
        <v>0</v>
      </c>
      <c r="L79" s="9">
        <v>0</v>
      </c>
      <c r="M79" s="9">
        <v>0</v>
      </c>
      <c r="N79" s="8">
        <f t="shared" si="13"/>
        <v>0</v>
      </c>
    </row>
    <row r="80" spans="1:14" ht="14.4" x14ac:dyDescent="0.3">
      <c r="A80" s="32">
        <f t="shared" si="9"/>
        <v>78</v>
      </c>
      <c r="B80" s="23" t="s">
        <v>77</v>
      </c>
      <c r="C80" s="8">
        <v>0</v>
      </c>
      <c r="D80" s="8">
        <v>254915</v>
      </c>
      <c r="E80" s="8">
        <f t="shared" si="10"/>
        <v>254915</v>
      </c>
      <c r="F80" s="9">
        <v>0</v>
      </c>
      <c r="G80" s="9">
        <v>168735</v>
      </c>
      <c r="H80" s="8">
        <f t="shared" si="11"/>
        <v>168735</v>
      </c>
      <c r="I80" s="9">
        <v>0</v>
      </c>
      <c r="J80" s="9">
        <v>677326</v>
      </c>
      <c r="K80" s="8">
        <f t="shared" si="12"/>
        <v>677326</v>
      </c>
      <c r="L80" s="9">
        <v>0</v>
      </c>
      <c r="M80" s="9">
        <v>266004</v>
      </c>
      <c r="N80" s="8">
        <f t="shared" si="13"/>
        <v>266004</v>
      </c>
    </row>
    <row r="81" spans="1:14" ht="14.4" x14ac:dyDescent="0.3">
      <c r="A81" s="32">
        <f t="shared" si="9"/>
        <v>79</v>
      </c>
      <c r="B81" s="23" t="s">
        <v>78</v>
      </c>
      <c r="C81" s="8">
        <v>0</v>
      </c>
      <c r="D81" s="8">
        <v>0</v>
      </c>
      <c r="E81" s="8">
        <f t="shared" si="10"/>
        <v>0</v>
      </c>
      <c r="F81" s="9">
        <v>0</v>
      </c>
      <c r="G81" s="9">
        <v>0</v>
      </c>
      <c r="H81" s="8">
        <f t="shared" si="11"/>
        <v>0</v>
      </c>
      <c r="I81" s="9">
        <v>0</v>
      </c>
      <c r="J81" s="9">
        <v>0</v>
      </c>
      <c r="K81" s="8">
        <f t="shared" si="12"/>
        <v>0</v>
      </c>
      <c r="L81" s="9">
        <v>0</v>
      </c>
      <c r="M81" s="9">
        <v>0</v>
      </c>
      <c r="N81" s="8">
        <f t="shared" si="13"/>
        <v>0</v>
      </c>
    </row>
    <row r="82" spans="1:14" ht="14.4" x14ac:dyDescent="0.3">
      <c r="A82" s="32">
        <f t="shared" si="9"/>
        <v>80</v>
      </c>
      <c r="B82" s="23" t="s">
        <v>79</v>
      </c>
      <c r="C82" s="8">
        <v>0</v>
      </c>
      <c r="D82" s="8">
        <v>0</v>
      </c>
      <c r="E82" s="8">
        <f t="shared" si="10"/>
        <v>0</v>
      </c>
      <c r="F82" s="9">
        <v>0</v>
      </c>
      <c r="G82" s="9">
        <v>0</v>
      </c>
      <c r="H82" s="8">
        <f t="shared" si="11"/>
        <v>0</v>
      </c>
      <c r="I82" s="9">
        <v>0</v>
      </c>
      <c r="J82" s="9">
        <v>0</v>
      </c>
      <c r="K82" s="8">
        <f t="shared" si="12"/>
        <v>0</v>
      </c>
      <c r="L82" s="9">
        <v>0</v>
      </c>
      <c r="M82" s="9">
        <v>0</v>
      </c>
      <c r="N82" s="8">
        <f t="shared" si="13"/>
        <v>0</v>
      </c>
    </row>
    <row r="83" spans="1:14" ht="14.4" x14ac:dyDescent="0.3">
      <c r="A83" s="32">
        <f t="shared" si="9"/>
        <v>81</v>
      </c>
      <c r="B83" s="23" t="s">
        <v>80</v>
      </c>
      <c r="C83" s="8">
        <v>0</v>
      </c>
      <c r="D83" s="8">
        <v>0</v>
      </c>
      <c r="E83" s="8">
        <f t="shared" si="10"/>
        <v>0</v>
      </c>
      <c r="F83" s="9">
        <v>0</v>
      </c>
      <c r="G83" s="9">
        <v>0</v>
      </c>
      <c r="H83" s="8">
        <f t="shared" si="11"/>
        <v>0</v>
      </c>
      <c r="I83" s="9">
        <v>0</v>
      </c>
      <c r="J83" s="9">
        <v>86821</v>
      </c>
      <c r="K83" s="8">
        <f t="shared" si="12"/>
        <v>86821</v>
      </c>
      <c r="L83" s="9">
        <v>0</v>
      </c>
      <c r="M83" s="9">
        <v>0</v>
      </c>
      <c r="N83" s="8">
        <f t="shared" si="13"/>
        <v>0</v>
      </c>
    </row>
    <row r="84" spans="1:14" ht="14.4" x14ac:dyDescent="0.3">
      <c r="A84" s="32">
        <f t="shared" si="9"/>
        <v>82</v>
      </c>
      <c r="B84" s="23" t="s">
        <v>81</v>
      </c>
      <c r="C84" s="8">
        <v>0</v>
      </c>
      <c r="D84" s="8">
        <v>0</v>
      </c>
      <c r="E84" s="8">
        <f t="shared" si="10"/>
        <v>0</v>
      </c>
      <c r="F84" s="9">
        <v>0</v>
      </c>
      <c r="G84" s="9">
        <v>0</v>
      </c>
      <c r="H84" s="8">
        <f t="shared" si="11"/>
        <v>0</v>
      </c>
      <c r="I84" s="9">
        <v>0</v>
      </c>
      <c r="J84" s="9">
        <v>637008</v>
      </c>
      <c r="K84" s="8">
        <f t="shared" si="12"/>
        <v>637008</v>
      </c>
      <c r="L84" s="9">
        <v>0</v>
      </c>
      <c r="M84" s="9">
        <v>0</v>
      </c>
      <c r="N84" s="8">
        <f t="shared" si="13"/>
        <v>0</v>
      </c>
    </row>
    <row r="85" spans="1:14" ht="14.4" x14ac:dyDescent="0.3">
      <c r="A85" s="32">
        <f t="shared" si="9"/>
        <v>83</v>
      </c>
      <c r="B85" s="25" t="s">
        <v>331</v>
      </c>
      <c r="C85" s="14">
        <v>0</v>
      </c>
      <c r="D85" s="14">
        <v>0</v>
      </c>
      <c r="E85" s="14">
        <f>SUM(E71:E84)</f>
        <v>254915</v>
      </c>
      <c r="F85" s="14">
        <v>0</v>
      </c>
      <c r="G85" s="14">
        <v>0</v>
      </c>
      <c r="H85" s="14">
        <f t="shared" ref="H85" si="14">SUM(H71:H84)</f>
        <v>168735</v>
      </c>
      <c r="I85" s="14">
        <v>0</v>
      </c>
      <c r="J85" s="14">
        <v>0</v>
      </c>
      <c r="K85" s="14">
        <f t="shared" ref="K85" si="15">SUM(K71:K84)</f>
        <v>1401155</v>
      </c>
      <c r="L85" s="14">
        <v>0</v>
      </c>
      <c r="M85" s="14">
        <v>0</v>
      </c>
      <c r="N85" s="14">
        <f t="shared" ref="N85" si="16">SUM(N71:N84)</f>
        <v>1597910</v>
      </c>
    </row>
    <row r="86" spans="1:14" ht="14.4" x14ac:dyDescent="0.3">
      <c r="A86" s="32">
        <f t="shared" si="9"/>
        <v>84</v>
      </c>
      <c r="B86" s="23"/>
      <c r="C86" s="8"/>
      <c r="D86" s="8"/>
      <c r="E86" s="8"/>
      <c r="F86" s="9"/>
      <c r="G86" s="9"/>
      <c r="H86" s="9"/>
      <c r="I86" s="9">
        <v>0</v>
      </c>
      <c r="J86" s="9">
        <v>0</v>
      </c>
      <c r="K86" s="9"/>
      <c r="L86" s="9">
        <v>0</v>
      </c>
      <c r="M86" s="9">
        <v>0</v>
      </c>
      <c r="N86" s="9"/>
    </row>
    <row r="87" spans="1:14" ht="14.4" x14ac:dyDescent="0.3">
      <c r="A87" s="32">
        <f t="shared" si="9"/>
        <v>85</v>
      </c>
      <c r="B87" s="26" t="s">
        <v>332</v>
      </c>
      <c r="C87" s="19"/>
      <c r="D87" s="19"/>
      <c r="E87" s="18">
        <f>E40+E69+E85</f>
        <v>114568597.08999999</v>
      </c>
      <c r="F87" s="19"/>
      <c r="G87" s="19"/>
      <c r="H87" s="18">
        <f t="shared" ref="H87" si="17">H40+H69+H85</f>
        <v>111447861.40000001</v>
      </c>
      <c r="I87" s="19"/>
      <c r="J87" s="19"/>
      <c r="K87" s="18">
        <f t="shared" ref="K87" si="18">K40+K69+K85</f>
        <v>119718389.72999997</v>
      </c>
      <c r="L87" s="19"/>
      <c r="M87" s="19"/>
      <c r="N87" s="18">
        <f t="shared" ref="N87" si="19">N40+N69+N85</f>
        <v>119068874.81999999</v>
      </c>
    </row>
    <row r="88" spans="1:14" ht="14.4" x14ac:dyDescent="0.3">
      <c r="A88" s="32">
        <f t="shared" si="9"/>
        <v>86</v>
      </c>
      <c r="B88" s="23"/>
      <c r="C88" s="8"/>
      <c r="D88" s="8"/>
      <c r="E88" s="8"/>
      <c r="F88" s="9"/>
      <c r="G88" s="9"/>
      <c r="H88" s="9"/>
      <c r="I88" s="9"/>
      <c r="J88" s="9"/>
      <c r="K88" s="9"/>
      <c r="L88" s="9"/>
      <c r="M88" s="9"/>
      <c r="N88" s="9"/>
    </row>
    <row r="89" spans="1:14" ht="14.4" x14ac:dyDescent="0.3">
      <c r="A89" s="32">
        <f t="shared" si="9"/>
        <v>87</v>
      </c>
      <c r="B89" s="23" t="s">
        <v>83</v>
      </c>
      <c r="C89" s="8">
        <v>0</v>
      </c>
      <c r="D89" s="8">
        <v>0</v>
      </c>
      <c r="E89" s="8">
        <f t="shared" ref="E89:E152" si="20">-C89+D89</f>
        <v>0</v>
      </c>
      <c r="F89" s="9">
        <v>0</v>
      </c>
      <c r="G89" s="9">
        <v>0</v>
      </c>
      <c r="H89" s="8">
        <f t="shared" ref="H89:H152" si="21">-F89+G89</f>
        <v>0</v>
      </c>
      <c r="I89" s="9">
        <v>2000</v>
      </c>
      <c r="J89" s="9">
        <v>0</v>
      </c>
      <c r="K89" s="8">
        <f t="shared" ref="K89:K152" si="22">-I89+J89</f>
        <v>-2000</v>
      </c>
      <c r="L89" s="9">
        <v>0</v>
      </c>
      <c r="M89" s="9">
        <v>0</v>
      </c>
      <c r="N89" s="8">
        <f t="shared" ref="N89:N152" si="23">-L89+M89</f>
        <v>0</v>
      </c>
    </row>
    <row r="90" spans="1:14" ht="14.4" x14ac:dyDescent="0.3">
      <c r="A90" s="32">
        <f t="shared" si="9"/>
        <v>88</v>
      </c>
      <c r="B90" s="23" t="s">
        <v>84</v>
      </c>
      <c r="C90" s="8">
        <v>376.96</v>
      </c>
      <c r="D90" s="8">
        <v>0</v>
      </c>
      <c r="E90" s="8">
        <f t="shared" si="20"/>
        <v>-376.96</v>
      </c>
      <c r="F90" s="9">
        <v>0</v>
      </c>
      <c r="G90" s="9">
        <v>0</v>
      </c>
      <c r="H90" s="8">
        <f t="shared" si="21"/>
        <v>0</v>
      </c>
      <c r="I90" s="9">
        <v>1636.8</v>
      </c>
      <c r="J90" s="9">
        <v>0</v>
      </c>
      <c r="K90" s="8">
        <f t="shared" si="22"/>
        <v>-1636.8</v>
      </c>
      <c r="L90" s="9">
        <v>0</v>
      </c>
      <c r="M90" s="9">
        <v>0</v>
      </c>
      <c r="N90" s="8">
        <f t="shared" si="23"/>
        <v>0</v>
      </c>
    </row>
    <row r="91" spans="1:14" ht="14.4" x14ac:dyDescent="0.3">
      <c r="A91" s="32">
        <f t="shared" si="9"/>
        <v>89</v>
      </c>
      <c r="B91" s="23" t="s">
        <v>85</v>
      </c>
      <c r="C91" s="8">
        <v>124016.4</v>
      </c>
      <c r="D91" s="8">
        <v>0</v>
      </c>
      <c r="E91" s="8">
        <f t="shared" si="20"/>
        <v>-124016.4</v>
      </c>
      <c r="F91" s="9">
        <v>71960</v>
      </c>
      <c r="G91" s="9">
        <v>0</v>
      </c>
      <c r="H91" s="8">
        <f t="shared" si="21"/>
        <v>-71960</v>
      </c>
      <c r="I91" s="9">
        <v>37580</v>
      </c>
      <c r="J91" s="9">
        <v>0</v>
      </c>
      <c r="K91" s="8">
        <f t="shared" si="22"/>
        <v>-37580</v>
      </c>
      <c r="L91" s="9">
        <v>0</v>
      </c>
      <c r="M91" s="9">
        <v>0</v>
      </c>
      <c r="N91" s="8">
        <f t="shared" si="23"/>
        <v>0</v>
      </c>
    </row>
    <row r="92" spans="1:14" ht="14.4" x14ac:dyDescent="0.3">
      <c r="A92" s="32">
        <f t="shared" si="9"/>
        <v>90</v>
      </c>
      <c r="B92" s="23" t="s">
        <v>86</v>
      </c>
      <c r="C92" s="8">
        <v>2400</v>
      </c>
      <c r="D92" s="8">
        <v>0</v>
      </c>
      <c r="E92" s="8">
        <f t="shared" si="20"/>
        <v>-2400</v>
      </c>
      <c r="F92" s="9">
        <v>600</v>
      </c>
      <c r="G92" s="9">
        <v>0</v>
      </c>
      <c r="H92" s="8">
        <f t="shared" si="21"/>
        <v>-600</v>
      </c>
      <c r="I92" s="9">
        <v>1600</v>
      </c>
      <c r="J92" s="9">
        <v>0</v>
      </c>
      <c r="K92" s="8">
        <f t="shared" si="22"/>
        <v>-1600</v>
      </c>
      <c r="L92" s="9">
        <v>0</v>
      </c>
      <c r="M92" s="9">
        <v>0</v>
      </c>
      <c r="N92" s="8">
        <f t="shared" si="23"/>
        <v>0</v>
      </c>
    </row>
    <row r="93" spans="1:14" ht="14.4" x14ac:dyDescent="0.3">
      <c r="A93" s="32">
        <f t="shared" si="9"/>
        <v>91</v>
      </c>
      <c r="B93" s="23" t="s">
        <v>87</v>
      </c>
      <c r="C93" s="8">
        <v>0</v>
      </c>
      <c r="D93" s="8">
        <v>0</v>
      </c>
      <c r="E93" s="8">
        <f t="shared" si="20"/>
        <v>0</v>
      </c>
      <c r="F93" s="9">
        <v>0</v>
      </c>
      <c r="G93" s="9">
        <v>0</v>
      </c>
      <c r="H93" s="8">
        <f t="shared" si="21"/>
        <v>0</v>
      </c>
      <c r="I93" s="9">
        <v>0</v>
      </c>
      <c r="J93" s="9">
        <v>0</v>
      </c>
      <c r="K93" s="8">
        <f t="shared" si="22"/>
        <v>0</v>
      </c>
      <c r="L93" s="9">
        <v>0</v>
      </c>
      <c r="M93" s="9">
        <v>0</v>
      </c>
      <c r="N93" s="8">
        <f t="shared" si="23"/>
        <v>0</v>
      </c>
    </row>
    <row r="94" spans="1:14" ht="14.4" x14ac:dyDescent="0.3">
      <c r="A94" s="32">
        <f t="shared" si="9"/>
        <v>92</v>
      </c>
      <c r="B94" s="23" t="s">
        <v>88</v>
      </c>
      <c r="C94" s="8">
        <v>0</v>
      </c>
      <c r="D94" s="8">
        <v>0</v>
      </c>
      <c r="E94" s="8">
        <f t="shared" si="20"/>
        <v>0</v>
      </c>
      <c r="F94" s="9">
        <v>0</v>
      </c>
      <c r="G94" s="9">
        <v>0</v>
      </c>
      <c r="H94" s="8">
        <f t="shared" si="21"/>
        <v>0</v>
      </c>
      <c r="I94" s="9">
        <v>0</v>
      </c>
      <c r="J94" s="9">
        <v>0</v>
      </c>
      <c r="K94" s="8">
        <f t="shared" si="22"/>
        <v>0</v>
      </c>
      <c r="L94" s="9">
        <v>0</v>
      </c>
      <c r="M94" s="9">
        <v>0</v>
      </c>
      <c r="N94" s="8">
        <f t="shared" si="23"/>
        <v>0</v>
      </c>
    </row>
    <row r="95" spans="1:14" ht="14.4" x14ac:dyDescent="0.3">
      <c r="A95" s="32">
        <f t="shared" si="9"/>
        <v>93</v>
      </c>
      <c r="B95" s="23" t="s">
        <v>89</v>
      </c>
      <c r="C95" s="8">
        <v>0</v>
      </c>
      <c r="D95" s="8">
        <v>0</v>
      </c>
      <c r="E95" s="8">
        <f t="shared" si="20"/>
        <v>0</v>
      </c>
      <c r="F95" s="9">
        <v>0</v>
      </c>
      <c r="G95" s="9">
        <v>0</v>
      </c>
      <c r="H95" s="8">
        <f t="shared" si="21"/>
        <v>0</v>
      </c>
      <c r="I95" s="9">
        <v>0</v>
      </c>
      <c r="J95" s="9">
        <v>0</v>
      </c>
      <c r="K95" s="8">
        <f t="shared" si="22"/>
        <v>0</v>
      </c>
      <c r="L95" s="9">
        <v>0</v>
      </c>
      <c r="M95" s="9">
        <v>0</v>
      </c>
      <c r="N95" s="8">
        <f t="shared" si="23"/>
        <v>0</v>
      </c>
    </row>
    <row r="96" spans="1:14" ht="14.4" x14ac:dyDescent="0.3">
      <c r="A96" s="32">
        <f t="shared" si="9"/>
        <v>94</v>
      </c>
      <c r="B96" s="23" t="s">
        <v>90</v>
      </c>
      <c r="C96" s="8">
        <v>3965</v>
      </c>
      <c r="D96" s="8">
        <v>0</v>
      </c>
      <c r="E96" s="8">
        <f t="shared" si="20"/>
        <v>-3965</v>
      </c>
      <c r="F96" s="9">
        <v>3965</v>
      </c>
      <c r="G96" s="9">
        <v>0</v>
      </c>
      <c r="H96" s="8">
        <f t="shared" si="21"/>
        <v>-3965</v>
      </c>
      <c r="I96" s="9">
        <v>3965</v>
      </c>
      <c r="J96" s="9">
        <v>0</v>
      </c>
      <c r="K96" s="8">
        <f t="shared" si="22"/>
        <v>-3965</v>
      </c>
      <c r="L96" s="9">
        <v>3965</v>
      </c>
      <c r="M96" s="9">
        <v>0</v>
      </c>
      <c r="N96" s="8">
        <f t="shared" si="23"/>
        <v>-3965</v>
      </c>
    </row>
    <row r="97" spans="1:14" ht="14.4" x14ac:dyDescent="0.3">
      <c r="A97" s="32">
        <f t="shared" si="9"/>
        <v>95</v>
      </c>
      <c r="B97" s="23" t="s">
        <v>91</v>
      </c>
      <c r="C97" s="8">
        <v>71193.52</v>
      </c>
      <c r="D97" s="8">
        <v>0</v>
      </c>
      <c r="E97" s="8">
        <f t="shared" si="20"/>
        <v>-71193.52</v>
      </c>
      <c r="F97" s="9">
        <v>49015.4</v>
      </c>
      <c r="G97" s="9">
        <v>0</v>
      </c>
      <c r="H97" s="8">
        <f t="shared" si="21"/>
        <v>-49015.4</v>
      </c>
      <c r="I97" s="9">
        <v>76383.97</v>
      </c>
      <c r="J97" s="9">
        <v>0</v>
      </c>
      <c r="K97" s="8">
        <f t="shared" si="22"/>
        <v>-76383.97</v>
      </c>
      <c r="L97" s="9">
        <v>185766.37</v>
      </c>
      <c r="M97" s="9">
        <v>0</v>
      </c>
      <c r="N97" s="8">
        <f t="shared" si="23"/>
        <v>-185766.37</v>
      </c>
    </row>
    <row r="98" spans="1:14" ht="14.4" x14ac:dyDescent="0.3">
      <c r="A98" s="32">
        <f t="shared" si="9"/>
        <v>96</v>
      </c>
      <c r="B98" s="23" t="s">
        <v>92</v>
      </c>
      <c r="C98" s="8">
        <v>0</v>
      </c>
      <c r="D98" s="8">
        <v>0</v>
      </c>
      <c r="E98" s="8">
        <f t="shared" si="20"/>
        <v>0</v>
      </c>
      <c r="F98" s="9">
        <v>0</v>
      </c>
      <c r="G98" s="9">
        <v>0</v>
      </c>
      <c r="H98" s="8">
        <f t="shared" si="21"/>
        <v>0</v>
      </c>
      <c r="I98" s="9">
        <v>0</v>
      </c>
      <c r="J98" s="9">
        <v>0</v>
      </c>
      <c r="K98" s="8">
        <f t="shared" si="22"/>
        <v>0</v>
      </c>
      <c r="L98" s="9">
        <v>0</v>
      </c>
      <c r="M98" s="9">
        <v>0</v>
      </c>
      <c r="N98" s="8">
        <f t="shared" si="23"/>
        <v>0</v>
      </c>
    </row>
    <row r="99" spans="1:14" ht="14.4" x14ac:dyDescent="0.3">
      <c r="A99" s="32">
        <f t="shared" si="9"/>
        <v>97</v>
      </c>
      <c r="B99" s="23" t="s">
        <v>93</v>
      </c>
      <c r="C99" s="8">
        <v>105533.3</v>
      </c>
      <c r="D99" s="8">
        <v>0</v>
      </c>
      <c r="E99" s="8">
        <f t="shared" si="20"/>
        <v>-105533.3</v>
      </c>
      <c r="F99" s="9">
        <v>115998.66</v>
      </c>
      <c r="G99" s="9">
        <v>0</v>
      </c>
      <c r="H99" s="8">
        <f t="shared" si="21"/>
        <v>-115998.66</v>
      </c>
      <c r="I99" s="9">
        <v>283582.13</v>
      </c>
      <c r="J99" s="9">
        <v>0</v>
      </c>
      <c r="K99" s="8">
        <f t="shared" si="22"/>
        <v>-283582.13</v>
      </c>
      <c r="L99" s="9">
        <v>0</v>
      </c>
      <c r="M99" s="9">
        <v>0</v>
      </c>
      <c r="N99" s="8">
        <f t="shared" si="23"/>
        <v>0</v>
      </c>
    </row>
    <row r="100" spans="1:14" ht="14.4" x14ac:dyDescent="0.3">
      <c r="A100" s="32">
        <f t="shared" si="9"/>
        <v>98</v>
      </c>
      <c r="B100" s="23" t="s">
        <v>94</v>
      </c>
      <c r="C100" s="8">
        <v>0</v>
      </c>
      <c r="D100" s="8">
        <v>0</v>
      </c>
      <c r="E100" s="8">
        <f t="shared" si="20"/>
        <v>0</v>
      </c>
      <c r="F100" s="9">
        <v>0</v>
      </c>
      <c r="G100" s="9">
        <v>0</v>
      </c>
      <c r="H100" s="8">
        <f t="shared" si="21"/>
        <v>0</v>
      </c>
      <c r="I100" s="9">
        <v>0</v>
      </c>
      <c r="J100" s="9">
        <v>0</v>
      </c>
      <c r="K100" s="8">
        <f t="shared" si="22"/>
        <v>0</v>
      </c>
      <c r="L100" s="9">
        <v>0</v>
      </c>
      <c r="M100" s="9">
        <v>0</v>
      </c>
      <c r="N100" s="8">
        <f t="shared" si="23"/>
        <v>0</v>
      </c>
    </row>
    <row r="101" spans="1:14" ht="14.4" x14ac:dyDescent="0.3">
      <c r="A101" s="32">
        <f t="shared" si="9"/>
        <v>99</v>
      </c>
      <c r="B101" s="23" t="s">
        <v>95</v>
      </c>
      <c r="C101" s="8">
        <v>75628</v>
      </c>
      <c r="D101" s="8">
        <v>0</v>
      </c>
      <c r="E101" s="8">
        <f t="shared" si="20"/>
        <v>-75628</v>
      </c>
      <c r="F101" s="9">
        <v>1282.5</v>
      </c>
      <c r="G101" s="9">
        <v>0</v>
      </c>
      <c r="H101" s="8">
        <f t="shared" si="21"/>
        <v>-1282.5</v>
      </c>
      <c r="I101" s="9">
        <v>69388</v>
      </c>
      <c r="J101" s="9">
        <v>0</v>
      </c>
      <c r="K101" s="8">
        <f t="shared" si="22"/>
        <v>-69388</v>
      </c>
      <c r="L101" s="9">
        <v>15640</v>
      </c>
      <c r="M101" s="9">
        <v>0</v>
      </c>
      <c r="N101" s="8">
        <f t="shared" si="23"/>
        <v>-15640</v>
      </c>
    </row>
    <row r="102" spans="1:14" ht="14.4" x14ac:dyDescent="0.3">
      <c r="A102" s="32">
        <f t="shared" si="9"/>
        <v>100</v>
      </c>
      <c r="B102" s="23" t="s">
        <v>96</v>
      </c>
      <c r="C102" s="8">
        <v>0</v>
      </c>
      <c r="D102" s="8">
        <v>0</v>
      </c>
      <c r="E102" s="8">
        <f t="shared" si="20"/>
        <v>0</v>
      </c>
      <c r="F102" s="9">
        <v>0</v>
      </c>
      <c r="G102" s="9">
        <v>0</v>
      </c>
      <c r="H102" s="8">
        <f t="shared" si="21"/>
        <v>0</v>
      </c>
      <c r="I102" s="9">
        <v>850</v>
      </c>
      <c r="J102" s="9">
        <v>0</v>
      </c>
      <c r="K102" s="8">
        <f t="shared" si="22"/>
        <v>-850</v>
      </c>
      <c r="L102" s="9">
        <v>0</v>
      </c>
      <c r="M102" s="9">
        <v>0</v>
      </c>
      <c r="N102" s="8">
        <f t="shared" si="23"/>
        <v>0</v>
      </c>
    </row>
    <row r="103" spans="1:14" ht="14.4" x14ac:dyDescent="0.3">
      <c r="A103" s="32">
        <f t="shared" si="9"/>
        <v>101</v>
      </c>
      <c r="B103" s="23" t="s">
        <v>97</v>
      </c>
      <c r="C103" s="8">
        <v>477000</v>
      </c>
      <c r="D103" s="8">
        <v>0</v>
      </c>
      <c r="E103" s="8">
        <f t="shared" si="20"/>
        <v>-477000</v>
      </c>
      <c r="F103" s="9">
        <v>693750</v>
      </c>
      <c r="G103" s="9">
        <v>0</v>
      </c>
      <c r="H103" s="8">
        <f t="shared" si="21"/>
        <v>-693750</v>
      </c>
      <c r="I103" s="9">
        <v>388230</v>
      </c>
      <c r="J103" s="9">
        <v>0</v>
      </c>
      <c r="K103" s="8">
        <f t="shared" si="22"/>
        <v>-388230</v>
      </c>
      <c r="L103" s="9">
        <v>28000</v>
      </c>
      <c r="M103" s="9">
        <v>0</v>
      </c>
      <c r="N103" s="8">
        <f t="shared" si="23"/>
        <v>-28000</v>
      </c>
    </row>
    <row r="104" spans="1:14" ht="14.4" x14ac:dyDescent="0.3">
      <c r="A104" s="32">
        <f t="shared" si="9"/>
        <v>102</v>
      </c>
      <c r="B104" s="23" t="s">
        <v>98</v>
      </c>
      <c r="C104" s="8">
        <v>306177.09999999998</v>
      </c>
      <c r="D104" s="8">
        <v>0</v>
      </c>
      <c r="E104" s="8">
        <f t="shared" si="20"/>
        <v>-306177.09999999998</v>
      </c>
      <c r="F104" s="9">
        <v>301717.64</v>
      </c>
      <c r="G104" s="9">
        <v>0</v>
      </c>
      <c r="H104" s="8">
        <f t="shared" si="21"/>
        <v>-301717.64</v>
      </c>
      <c r="I104" s="9">
        <v>246729.04</v>
      </c>
      <c r="J104" s="9">
        <v>0</v>
      </c>
      <c r="K104" s="8">
        <f t="shared" si="22"/>
        <v>-246729.04</v>
      </c>
      <c r="L104" s="9">
        <v>6500</v>
      </c>
      <c r="M104" s="9">
        <v>0</v>
      </c>
      <c r="N104" s="8">
        <f t="shared" si="23"/>
        <v>-6500</v>
      </c>
    </row>
    <row r="105" spans="1:14" ht="14.4" x14ac:dyDescent="0.3">
      <c r="A105" s="32">
        <f t="shared" si="9"/>
        <v>103</v>
      </c>
      <c r="B105" s="23" t="s">
        <v>99</v>
      </c>
      <c r="C105" s="8">
        <v>0</v>
      </c>
      <c r="D105" s="8">
        <v>0</v>
      </c>
      <c r="E105" s="8">
        <f t="shared" si="20"/>
        <v>0</v>
      </c>
      <c r="F105" s="9">
        <v>0</v>
      </c>
      <c r="G105" s="9">
        <v>0</v>
      </c>
      <c r="H105" s="8">
        <f t="shared" si="21"/>
        <v>0</v>
      </c>
      <c r="I105" s="9">
        <v>0</v>
      </c>
      <c r="J105" s="9">
        <v>0</v>
      </c>
      <c r="K105" s="8">
        <f t="shared" si="22"/>
        <v>0</v>
      </c>
      <c r="L105" s="9">
        <v>0</v>
      </c>
      <c r="M105" s="9">
        <v>0</v>
      </c>
      <c r="N105" s="8">
        <f t="shared" si="23"/>
        <v>0</v>
      </c>
    </row>
    <row r="106" spans="1:14" ht="14.4" x14ac:dyDescent="0.3">
      <c r="A106" s="32">
        <f t="shared" si="9"/>
        <v>104</v>
      </c>
      <c r="B106" s="23" t="s">
        <v>100</v>
      </c>
      <c r="C106" s="8">
        <v>61647.68</v>
      </c>
      <c r="D106" s="8">
        <v>0</v>
      </c>
      <c r="E106" s="8">
        <f t="shared" si="20"/>
        <v>-61647.68</v>
      </c>
      <c r="F106" s="9">
        <v>0</v>
      </c>
      <c r="G106" s="9">
        <v>0</v>
      </c>
      <c r="H106" s="8">
        <f t="shared" si="21"/>
        <v>0</v>
      </c>
      <c r="I106" s="9">
        <v>22175.93</v>
      </c>
      <c r="J106" s="9">
        <v>0</v>
      </c>
      <c r="K106" s="8">
        <f t="shared" si="22"/>
        <v>-22175.93</v>
      </c>
      <c r="L106" s="9">
        <v>5969.33</v>
      </c>
      <c r="M106" s="9">
        <v>0</v>
      </c>
      <c r="N106" s="8">
        <f t="shared" si="23"/>
        <v>-5969.33</v>
      </c>
    </row>
    <row r="107" spans="1:14" ht="14.4" x14ac:dyDescent="0.3">
      <c r="A107" s="32">
        <f t="shared" si="9"/>
        <v>105</v>
      </c>
      <c r="B107" s="23" t="s">
        <v>101</v>
      </c>
      <c r="C107" s="8">
        <v>83751.8</v>
      </c>
      <c r="D107" s="8">
        <v>0</v>
      </c>
      <c r="E107" s="8">
        <f t="shared" si="20"/>
        <v>-83751.8</v>
      </c>
      <c r="F107" s="9">
        <v>74497.66</v>
      </c>
      <c r="G107" s="9">
        <v>0</v>
      </c>
      <c r="H107" s="8">
        <f t="shared" si="21"/>
        <v>-74497.66</v>
      </c>
      <c r="I107" s="9">
        <v>0</v>
      </c>
      <c r="J107" s="9">
        <v>0</v>
      </c>
      <c r="K107" s="8">
        <f t="shared" si="22"/>
        <v>0</v>
      </c>
      <c r="L107" s="9">
        <v>0</v>
      </c>
      <c r="M107" s="9">
        <v>0</v>
      </c>
      <c r="N107" s="8">
        <f t="shared" si="23"/>
        <v>0</v>
      </c>
    </row>
    <row r="108" spans="1:14" ht="14.4" x14ac:dyDescent="0.3">
      <c r="A108" s="32">
        <f t="shared" si="9"/>
        <v>106</v>
      </c>
      <c r="B108" s="23" t="s">
        <v>102</v>
      </c>
      <c r="C108" s="8">
        <v>0</v>
      </c>
      <c r="D108" s="8">
        <v>0</v>
      </c>
      <c r="E108" s="8">
        <f t="shared" si="20"/>
        <v>0</v>
      </c>
      <c r="F108" s="9">
        <v>0</v>
      </c>
      <c r="G108" s="9">
        <v>0</v>
      </c>
      <c r="H108" s="8">
        <f t="shared" si="21"/>
        <v>0</v>
      </c>
      <c r="I108" s="9">
        <v>0</v>
      </c>
      <c r="J108" s="9">
        <v>0</v>
      </c>
      <c r="K108" s="8">
        <f t="shared" si="22"/>
        <v>0</v>
      </c>
      <c r="L108" s="9">
        <v>0</v>
      </c>
      <c r="M108" s="9">
        <v>0</v>
      </c>
      <c r="N108" s="8">
        <f t="shared" si="23"/>
        <v>0</v>
      </c>
    </row>
    <row r="109" spans="1:14" ht="14.4" x14ac:dyDescent="0.3">
      <c r="A109" s="32">
        <f t="shared" si="9"/>
        <v>107</v>
      </c>
      <c r="B109" s="23" t="s">
        <v>103</v>
      </c>
      <c r="C109" s="8">
        <v>133961.79999999999</v>
      </c>
      <c r="D109" s="8">
        <v>0</v>
      </c>
      <c r="E109" s="8">
        <f t="shared" si="20"/>
        <v>-133961.79999999999</v>
      </c>
      <c r="F109" s="9">
        <v>125004.71</v>
      </c>
      <c r="G109" s="9">
        <v>0</v>
      </c>
      <c r="H109" s="8">
        <f t="shared" si="21"/>
        <v>-125004.71</v>
      </c>
      <c r="I109" s="9">
        <v>95757.88</v>
      </c>
      <c r="J109" s="9">
        <v>0</v>
      </c>
      <c r="K109" s="8">
        <f t="shared" si="22"/>
        <v>-95757.88</v>
      </c>
      <c r="L109" s="9">
        <v>35340.15</v>
      </c>
      <c r="M109" s="9">
        <v>0</v>
      </c>
      <c r="N109" s="8">
        <f t="shared" si="23"/>
        <v>-35340.15</v>
      </c>
    </row>
    <row r="110" spans="1:14" ht="14.4" x14ac:dyDescent="0.3">
      <c r="A110" s="32">
        <f t="shared" si="9"/>
        <v>108</v>
      </c>
      <c r="B110" s="23" t="s">
        <v>104</v>
      </c>
      <c r="C110" s="8">
        <v>0</v>
      </c>
      <c r="D110" s="8">
        <v>0</v>
      </c>
      <c r="E110" s="8">
        <f t="shared" si="20"/>
        <v>0</v>
      </c>
      <c r="F110" s="9">
        <v>0</v>
      </c>
      <c r="G110" s="9">
        <v>0</v>
      </c>
      <c r="H110" s="8">
        <f t="shared" si="21"/>
        <v>0</v>
      </c>
      <c r="I110" s="9">
        <v>950000</v>
      </c>
      <c r="J110" s="9">
        <v>0</v>
      </c>
      <c r="K110" s="8">
        <f t="shared" si="22"/>
        <v>-950000</v>
      </c>
      <c r="L110" s="9">
        <v>0</v>
      </c>
      <c r="M110" s="9">
        <v>500000</v>
      </c>
      <c r="N110" s="8">
        <f t="shared" si="23"/>
        <v>500000</v>
      </c>
    </row>
    <row r="111" spans="1:14" ht="14.4" x14ac:dyDescent="0.3">
      <c r="A111" s="32">
        <f t="shared" si="9"/>
        <v>109</v>
      </c>
      <c r="B111" s="23" t="s">
        <v>105</v>
      </c>
      <c r="C111" s="8">
        <v>15712</v>
      </c>
      <c r="D111" s="8">
        <v>0</v>
      </c>
      <c r="E111" s="8">
        <f t="shared" si="20"/>
        <v>-15712</v>
      </c>
      <c r="F111" s="9">
        <v>0</v>
      </c>
      <c r="G111" s="9">
        <v>0</v>
      </c>
      <c r="H111" s="8">
        <f t="shared" si="21"/>
        <v>0</v>
      </c>
      <c r="I111" s="9">
        <v>28720</v>
      </c>
      <c r="J111" s="9">
        <v>0</v>
      </c>
      <c r="K111" s="8">
        <f t="shared" si="22"/>
        <v>-28720</v>
      </c>
      <c r="L111" s="9">
        <v>24345</v>
      </c>
      <c r="M111" s="9">
        <v>0</v>
      </c>
      <c r="N111" s="8">
        <f t="shared" si="23"/>
        <v>-24345</v>
      </c>
    </row>
    <row r="112" spans="1:14" ht="14.4" x14ac:dyDescent="0.3">
      <c r="A112" s="32">
        <f t="shared" si="9"/>
        <v>110</v>
      </c>
      <c r="B112" s="23" t="s">
        <v>106</v>
      </c>
      <c r="C112" s="8">
        <v>26587</v>
      </c>
      <c r="D112" s="8">
        <v>0</v>
      </c>
      <c r="E112" s="8">
        <f t="shared" si="20"/>
        <v>-26587</v>
      </c>
      <c r="F112" s="9">
        <v>466196</v>
      </c>
      <c r="G112" s="9">
        <v>0</v>
      </c>
      <c r="H112" s="8">
        <f t="shared" si="21"/>
        <v>-466196</v>
      </c>
      <c r="I112" s="9">
        <v>53465.57</v>
      </c>
      <c r="J112" s="9">
        <v>0</v>
      </c>
      <c r="K112" s="8">
        <f t="shared" si="22"/>
        <v>-53465.57</v>
      </c>
      <c r="L112" s="9">
        <v>28467.17</v>
      </c>
      <c r="M112" s="9">
        <v>0</v>
      </c>
      <c r="N112" s="8">
        <f t="shared" si="23"/>
        <v>-28467.17</v>
      </c>
    </row>
    <row r="113" spans="1:14" ht="14.4" x14ac:dyDescent="0.3">
      <c r="A113" s="32">
        <f t="shared" si="9"/>
        <v>111</v>
      </c>
      <c r="B113" s="23" t="s">
        <v>107</v>
      </c>
      <c r="C113" s="8">
        <v>227526.54</v>
      </c>
      <c r="D113" s="8">
        <v>0</v>
      </c>
      <c r="E113" s="8">
        <f t="shared" si="20"/>
        <v>-227526.54</v>
      </c>
      <c r="F113" s="9">
        <v>86029.92</v>
      </c>
      <c r="G113" s="9">
        <v>0</v>
      </c>
      <c r="H113" s="8">
        <f t="shared" si="21"/>
        <v>-86029.92</v>
      </c>
      <c r="I113" s="9">
        <v>40019.25</v>
      </c>
      <c r="J113" s="9">
        <v>0</v>
      </c>
      <c r="K113" s="8">
        <f t="shared" si="22"/>
        <v>-40019.25</v>
      </c>
      <c r="L113" s="9">
        <v>63445.46</v>
      </c>
      <c r="M113" s="9">
        <v>0</v>
      </c>
      <c r="N113" s="8">
        <f t="shared" si="23"/>
        <v>-63445.46</v>
      </c>
    </row>
    <row r="114" spans="1:14" ht="14.4" x14ac:dyDescent="0.3">
      <c r="A114" s="32">
        <f t="shared" si="9"/>
        <v>112</v>
      </c>
      <c r="B114" s="23" t="s">
        <v>108</v>
      </c>
      <c r="C114" s="8">
        <v>14242</v>
      </c>
      <c r="D114" s="8">
        <v>0</v>
      </c>
      <c r="E114" s="8">
        <f t="shared" si="20"/>
        <v>-14242</v>
      </c>
      <c r="F114" s="9">
        <v>3841.5</v>
      </c>
      <c r="G114" s="9">
        <v>0</v>
      </c>
      <c r="H114" s="8">
        <f t="shared" si="21"/>
        <v>-3841.5</v>
      </c>
      <c r="I114" s="9">
        <v>5970</v>
      </c>
      <c r="J114" s="9">
        <v>0</v>
      </c>
      <c r="K114" s="8">
        <f t="shared" si="22"/>
        <v>-5970</v>
      </c>
      <c r="L114" s="9">
        <v>300</v>
      </c>
      <c r="M114" s="9">
        <v>0</v>
      </c>
      <c r="N114" s="8">
        <f t="shared" si="23"/>
        <v>-300</v>
      </c>
    </row>
    <row r="115" spans="1:14" ht="14.4" x14ac:dyDescent="0.3">
      <c r="A115" s="32">
        <f t="shared" si="9"/>
        <v>113</v>
      </c>
      <c r="B115" s="23" t="s">
        <v>109</v>
      </c>
      <c r="C115" s="8">
        <v>0</v>
      </c>
      <c r="D115" s="8">
        <v>0</v>
      </c>
      <c r="E115" s="8">
        <f t="shared" si="20"/>
        <v>0</v>
      </c>
      <c r="F115" s="9">
        <v>0</v>
      </c>
      <c r="G115" s="9">
        <v>0</v>
      </c>
      <c r="H115" s="8">
        <f t="shared" si="21"/>
        <v>0</v>
      </c>
      <c r="I115" s="9">
        <v>0</v>
      </c>
      <c r="J115" s="9">
        <v>0</v>
      </c>
      <c r="K115" s="8">
        <f t="shared" si="22"/>
        <v>0</v>
      </c>
      <c r="L115" s="9">
        <v>0</v>
      </c>
      <c r="M115" s="9">
        <v>0</v>
      </c>
      <c r="N115" s="8">
        <f t="shared" si="23"/>
        <v>0</v>
      </c>
    </row>
    <row r="116" spans="1:14" ht="14.4" x14ac:dyDescent="0.3">
      <c r="A116" s="32">
        <f t="shared" si="9"/>
        <v>114</v>
      </c>
      <c r="B116" s="23" t="s">
        <v>110</v>
      </c>
      <c r="C116" s="8">
        <v>900503.63</v>
      </c>
      <c r="D116" s="8">
        <v>0</v>
      </c>
      <c r="E116" s="8">
        <f t="shared" si="20"/>
        <v>-900503.63</v>
      </c>
      <c r="F116" s="9">
        <v>250886.77</v>
      </c>
      <c r="G116" s="9">
        <v>0</v>
      </c>
      <c r="H116" s="8">
        <f t="shared" si="21"/>
        <v>-250886.77</v>
      </c>
      <c r="I116" s="9">
        <v>630656.88</v>
      </c>
      <c r="J116" s="9">
        <v>0</v>
      </c>
      <c r="K116" s="8">
        <f t="shared" si="22"/>
        <v>-630656.88</v>
      </c>
      <c r="L116" s="9">
        <v>2475</v>
      </c>
      <c r="M116" s="9">
        <v>0</v>
      </c>
      <c r="N116" s="8">
        <f t="shared" si="23"/>
        <v>-2475</v>
      </c>
    </row>
    <row r="117" spans="1:14" ht="14.4" x14ac:dyDescent="0.3">
      <c r="A117" s="32">
        <f t="shared" si="9"/>
        <v>115</v>
      </c>
      <c r="B117" s="23" t="s">
        <v>111</v>
      </c>
      <c r="C117" s="8">
        <v>3330.18</v>
      </c>
      <c r="D117" s="8">
        <v>0</v>
      </c>
      <c r="E117" s="8">
        <f t="shared" si="20"/>
        <v>-3330.18</v>
      </c>
      <c r="F117" s="9">
        <v>0</v>
      </c>
      <c r="G117" s="9">
        <v>0</v>
      </c>
      <c r="H117" s="8">
        <f t="shared" si="21"/>
        <v>0</v>
      </c>
      <c r="I117" s="9">
        <v>1060.8</v>
      </c>
      <c r="J117" s="9">
        <v>0</v>
      </c>
      <c r="K117" s="8">
        <f t="shared" si="22"/>
        <v>-1060.8</v>
      </c>
      <c r="L117" s="9">
        <v>10705.04</v>
      </c>
      <c r="M117" s="9">
        <v>0</v>
      </c>
      <c r="N117" s="8">
        <f t="shared" si="23"/>
        <v>-10705.04</v>
      </c>
    </row>
    <row r="118" spans="1:14" ht="14.4" x14ac:dyDescent="0.3">
      <c r="A118" s="32">
        <f t="shared" si="9"/>
        <v>116</v>
      </c>
      <c r="B118" s="23" t="s">
        <v>112</v>
      </c>
      <c r="C118" s="8">
        <v>134128</v>
      </c>
      <c r="D118" s="8">
        <v>0</v>
      </c>
      <c r="E118" s="8">
        <f t="shared" si="20"/>
        <v>-134128</v>
      </c>
      <c r="F118" s="9">
        <v>141602</v>
      </c>
      <c r="G118" s="9">
        <v>0</v>
      </c>
      <c r="H118" s="8">
        <f t="shared" si="21"/>
        <v>-141602</v>
      </c>
      <c r="I118" s="9">
        <v>172912</v>
      </c>
      <c r="J118" s="9">
        <v>0</v>
      </c>
      <c r="K118" s="8">
        <f t="shared" si="22"/>
        <v>-172912</v>
      </c>
      <c r="L118" s="9">
        <v>196445</v>
      </c>
      <c r="M118" s="9">
        <v>0</v>
      </c>
      <c r="N118" s="8">
        <f t="shared" si="23"/>
        <v>-196445</v>
      </c>
    </row>
    <row r="119" spans="1:14" ht="14.4" x14ac:dyDescent="0.3">
      <c r="A119" s="32">
        <f t="shared" si="9"/>
        <v>117</v>
      </c>
      <c r="B119" s="23" t="s">
        <v>113</v>
      </c>
      <c r="C119" s="8">
        <v>0</v>
      </c>
      <c r="D119" s="8">
        <v>0</v>
      </c>
      <c r="E119" s="8">
        <f t="shared" si="20"/>
        <v>0</v>
      </c>
      <c r="F119" s="9">
        <v>0</v>
      </c>
      <c r="G119" s="9">
        <v>0</v>
      </c>
      <c r="H119" s="8">
        <f t="shared" si="21"/>
        <v>0</v>
      </c>
      <c r="I119" s="9">
        <v>0</v>
      </c>
      <c r="J119" s="9">
        <v>0</v>
      </c>
      <c r="K119" s="8">
        <f t="shared" si="22"/>
        <v>0</v>
      </c>
      <c r="L119" s="9">
        <v>0</v>
      </c>
      <c r="M119" s="9">
        <v>0</v>
      </c>
      <c r="N119" s="8">
        <f t="shared" si="23"/>
        <v>0</v>
      </c>
    </row>
    <row r="120" spans="1:14" ht="14.4" x14ac:dyDescent="0.3">
      <c r="A120" s="32">
        <f t="shared" si="9"/>
        <v>118</v>
      </c>
      <c r="B120" s="23" t="s">
        <v>114</v>
      </c>
      <c r="C120" s="8">
        <v>31150</v>
      </c>
      <c r="D120" s="8">
        <v>0</v>
      </c>
      <c r="E120" s="8">
        <f t="shared" si="20"/>
        <v>-31150</v>
      </c>
      <c r="F120" s="9">
        <v>0</v>
      </c>
      <c r="G120" s="9">
        <v>0</v>
      </c>
      <c r="H120" s="8">
        <f t="shared" si="21"/>
        <v>0</v>
      </c>
      <c r="I120" s="9">
        <v>25560</v>
      </c>
      <c r="J120" s="9">
        <v>0</v>
      </c>
      <c r="K120" s="8">
        <f t="shared" si="22"/>
        <v>-25560</v>
      </c>
      <c r="L120" s="9">
        <v>0</v>
      </c>
      <c r="M120" s="9">
        <v>0</v>
      </c>
      <c r="N120" s="8">
        <f t="shared" si="23"/>
        <v>0</v>
      </c>
    </row>
    <row r="121" spans="1:14" ht="14.4" x14ac:dyDescent="0.3">
      <c r="A121" s="32">
        <f t="shared" si="9"/>
        <v>119</v>
      </c>
      <c r="B121" s="23" t="s">
        <v>115</v>
      </c>
      <c r="C121" s="8">
        <v>0</v>
      </c>
      <c r="D121" s="8">
        <v>0</v>
      </c>
      <c r="E121" s="8">
        <f t="shared" si="20"/>
        <v>0</v>
      </c>
      <c r="F121" s="9">
        <v>0</v>
      </c>
      <c r="G121" s="9">
        <v>0</v>
      </c>
      <c r="H121" s="8">
        <f t="shared" si="21"/>
        <v>0</v>
      </c>
      <c r="I121" s="9">
        <v>0</v>
      </c>
      <c r="J121" s="9">
        <v>0</v>
      </c>
      <c r="K121" s="8">
        <f t="shared" si="22"/>
        <v>0</v>
      </c>
      <c r="L121" s="9">
        <v>0</v>
      </c>
      <c r="M121" s="9">
        <v>0</v>
      </c>
      <c r="N121" s="8">
        <f t="shared" si="23"/>
        <v>0</v>
      </c>
    </row>
    <row r="122" spans="1:14" ht="14.4" x14ac:dyDescent="0.3">
      <c r="A122" s="32">
        <f t="shared" si="9"/>
        <v>120</v>
      </c>
      <c r="B122" s="23" t="s">
        <v>116</v>
      </c>
      <c r="C122" s="8">
        <v>0</v>
      </c>
      <c r="D122" s="8">
        <v>0</v>
      </c>
      <c r="E122" s="8">
        <f t="shared" si="20"/>
        <v>0</v>
      </c>
      <c r="F122" s="9">
        <v>0</v>
      </c>
      <c r="G122" s="9">
        <v>0</v>
      </c>
      <c r="H122" s="8">
        <f t="shared" si="21"/>
        <v>0</v>
      </c>
      <c r="I122" s="9">
        <v>0</v>
      </c>
      <c r="J122" s="9">
        <v>0</v>
      </c>
      <c r="K122" s="8">
        <f t="shared" si="22"/>
        <v>0</v>
      </c>
      <c r="L122" s="9">
        <v>0</v>
      </c>
      <c r="M122" s="9">
        <v>0</v>
      </c>
      <c r="N122" s="8">
        <f t="shared" si="23"/>
        <v>0</v>
      </c>
    </row>
    <row r="123" spans="1:14" ht="14.4" x14ac:dyDescent="0.3">
      <c r="A123" s="32">
        <f t="shared" si="9"/>
        <v>121</v>
      </c>
      <c r="B123" s="23" t="s">
        <v>117</v>
      </c>
      <c r="C123" s="8">
        <v>854563.11</v>
      </c>
      <c r="D123" s="8">
        <v>0</v>
      </c>
      <c r="E123" s="8">
        <f t="shared" si="20"/>
        <v>-854563.11</v>
      </c>
      <c r="F123" s="9">
        <v>196715.88</v>
      </c>
      <c r="G123" s="9">
        <v>0</v>
      </c>
      <c r="H123" s="8">
        <f t="shared" si="21"/>
        <v>-196715.88</v>
      </c>
      <c r="I123" s="9">
        <v>396454.88</v>
      </c>
      <c r="J123" s="9">
        <v>0</v>
      </c>
      <c r="K123" s="8">
        <f t="shared" si="22"/>
        <v>-396454.88</v>
      </c>
      <c r="L123" s="9">
        <v>846.59</v>
      </c>
      <c r="M123" s="9">
        <v>0</v>
      </c>
      <c r="N123" s="8">
        <f t="shared" si="23"/>
        <v>-846.59</v>
      </c>
    </row>
    <row r="124" spans="1:14" ht="14.4" x14ac:dyDescent="0.3">
      <c r="A124" s="32">
        <f t="shared" si="9"/>
        <v>122</v>
      </c>
      <c r="B124" s="23" t="s">
        <v>118</v>
      </c>
      <c r="C124" s="8">
        <v>0</v>
      </c>
      <c r="D124" s="8">
        <v>0</v>
      </c>
      <c r="E124" s="8">
        <f t="shared" si="20"/>
        <v>0</v>
      </c>
      <c r="F124" s="9">
        <v>0</v>
      </c>
      <c r="G124" s="9">
        <v>0</v>
      </c>
      <c r="H124" s="8">
        <f t="shared" si="21"/>
        <v>0</v>
      </c>
      <c r="I124" s="9">
        <v>0</v>
      </c>
      <c r="J124" s="9">
        <v>0</v>
      </c>
      <c r="K124" s="8">
        <f t="shared" si="22"/>
        <v>0</v>
      </c>
      <c r="L124" s="9">
        <v>0</v>
      </c>
      <c r="M124" s="9">
        <v>0</v>
      </c>
      <c r="N124" s="8">
        <f t="shared" si="23"/>
        <v>0</v>
      </c>
    </row>
    <row r="125" spans="1:14" ht="14.4" x14ac:dyDescent="0.3">
      <c r="A125" s="32">
        <f t="shared" si="9"/>
        <v>123</v>
      </c>
      <c r="B125" s="23" t="s">
        <v>119</v>
      </c>
      <c r="C125" s="8">
        <v>1848488.82</v>
      </c>
      <c r="D125" s="8">
        <v>0</v>
      </c>
      <c r="E125" s="8">
        <f t="shared" si="20"/>
        <v>-1848488.82</v>
      </c>
      <c r="F125" s="9">
        <v>283635.98</v>
      </c>
      <c r="G125" s="9">
        <v>0</v>
      </c>
      <c r="H125" s="8">
        <f t="shared" si="21"/>
        <v>-283635.98</v>
      </c>
      <c r="I125" s="9">
        <v>1056874.92</v>
      </c>
      <c r="J125" s="9">
        <v>0</v>
      </c>
      <c r="K125" s="8">
        <f t="shared" si="22"/>
        <v>-1056874.92</v>
      </c>
      <c r="L125" s="9">
        <v>481120.67</v>
      </c>
      <c r="M125" s="9">
        <v>0</v>
      </c>
      <c r="N125" s="8">
        <f t="shared" si="23"/>
        <v>-481120.67</v>
      </c>
    </row>
    <row r="126" spans="1:14" ht="14.4" x14ac:dyDescent="0.3">
      <c r="A126" s="32">
        <f t="shared" si="9"/>
        <v>124</v>
      </c>
      <c r="B126" s="23" t="s">
        <v>120</v>
      </c>
      <c r="C126" s="8">
        <v>0</v>
      </c>
      <c r="D126" s="8">
        <v>0</v>
      </c>
      <c r="E126" s="8">
        <f t="shared" si="20"/>
        <v>0</v>
      </c>
      <c r="F126" s="9">
        <v>0</v>
      </c>
      <c r="G126" s="9">
        <v>0</v>
      </c>
      <c r="H126" s="8">
        <f t="shared" si="21"/>
        <v>0</v>
      </c>
      <c r="I126" s="9">
        <v>0</v>
      </c>
      <c r="J126" s="9">
        <v>300000</v>
      </c>
      <c r="K126" s="8">
        <f t="shared" si="22"/>
        <v>300000</v>
      </c>
      <c r="L126" s="9">
        <v>0</v>
      </c>
      <c r="M126" s="9">
        <v>700000</v>
      </c>
      <c r="N126" s="8">
        <f t="shared" si="23"/>
        <v>700000</v>
      </c>
    </row>
    <row r="127" spans="1:14" ht="14.4" x14ac:dyDescent="0.3">
      <c r="A127" s="32">
        <f t="shared" si="9"/>
        <v>125</v>
      </c>
      <c r="B127" s="23" t="s">
        <v>121</v>
      </c>
      <c r="C127" s="8">
        <v>0</v>
      </c>
      <c r="D127" s="8">
        <v>0</v>
      </c>
      <c r="E127" s="8">
        <f t="shared" si="20"/>
        <v>0</v>
      </c>
      <c r="F127" s="9">
        <v>0</v>
      </c>
      <c r="G127" s="9">
        <v>0</v>
      </c>
      <c r="H127" s="8">
        <f t="shared" si="21"/>
        <v>0</v>
      </c>
      <c r="I127" s="9">
        <v>0</v>
      </c>
      <c r="J127" s="9">
        <v>0</v>
      </c>
      <c r="K127" s="8">
        <f t="shared" si="22"/>
        <v>0</v>
      </c>
      <c r="L127" s="9">
        <v>0</v>
      </c>
      <c r="M127" s="9">
        <v>0</v>
      </c>
      <c r="N127" s="8">
        <f t="shared" si="23"/>
        <v>0</v>
      </c>
    </row>
    <row r="128" spans="1:14" ht="14.4" x14ac:dyDescent="0.3">
      <c r="A128" s="32">
        <f t="shared" si="9"/>
        <v>126</v>
      </c>
      <c r="B128" s="23" t="s">
        <v>122</v>
      </c>
      <c r="C128" s="8">
        <v>0</v>
      </c>
      <c r="D128" s="8">
        <v>0</v>
      </c>
      <c r="E128" s="8">
        <f t="shared" si="20"/>
        <v>0</v>
      </c>
      <c r="F128" s="9">
        <v>0</v>
      </c>
      <c r="G128" s="9">
        <v>0</v>
      </c>
      <c r="H128" s="8">
        <f t="shared" si="21"/>
        <v>0</v>
      </c>
      <c r="I128" s="9">
        <v>0</v>
      </c>
      <c r="J128" s="9">
        <v>0</v>
      </c>
      <c r="K128" s="8">
        <f t="shared" si="22"/>
        <v>0</v>
      </c>
      <c r="L128" s="9">
        <v>0</v>
      </c>
      <c r="M128" s="9">
        <v>0</v>
      </c>
      <c r="N128" s="8">
        <f t="shared" si="23"/>
        <v>0</v>
      </c>
    </row>
    <row r="129" spans="1:14" ht="14.4" x14ac:dyDescent="0.3">
      <c r="A129" s="32">
        <f t="shared" si="9"/>
        <v>127</v>
      </c>
      <c r="B129" s="23" t="s">
        <v>123</v>
      </c>
      <c r="C129" s="8">
        <v>53818.8</v>
      </c>
      <c r="D129" s="8">
        <v>0</v>
      </c>
      <c r="E129" s="8">
        <f t="shared" si="20"/>
        <v>-53818.8</v>
      </c>
      <c r="F129" s="9">
        <v>42952.800000000003</v>
      </c>
      <c r="G129" s="9">
        <v>0</v>
      </c>
      <c r="H129" s="8">
        <f t="shared" si="21"/>
        <v>-42952.800000000003</v>
      </c>
      <c r="I129" s="9">
        <v>43678.400000000001</v>
      </c>
      <c r="J129" s="9">
        <v>0</v>
      </c>
      <c r="K129" s="8">
        <f t="shared" si="22"/>
        <v>-43678.400000000001</v>
      </c>
      <c r="L129" s="9">
        <v>84330.8</v>
      </c>
      <c r="M129" s="9">
        <v>0</v>
      </c>
      <c r="N129" s="8">
        <f t="shared" si="23"/>
        <v>-84330.8</v>
      </c>
    </row>
    <row r="130" spans="1:14" ht="14.4" x14ac:dyDescent="0.3">
      <c r="A130" s="32">
        <f t="shared" si="9"/>
        <v>128</v>
      </c>
      <c r="B130" s="23" t="s">
        <v>124</v>
      </c>
      <c r="C130" s="8">
        <v>0</v>
      </c>
      <c r="D130" s="8">
        <v>0</v>
      </c>
      <c r="E130" s="8">
        <f t="shared" si="20"/>
        <v>0</v>
      </c>
      <c r="F130" s="9">
        <v>0</v>
      </c>
      <c r="G130" s="9">
        <v>0</v>
      </c>
      <c r="H130" s="8">
        <f t="shared" si="21"/>
        <v>0</v>
      </c>
      <c r="I130" s="9">
        <v>0</v>
      </c>
      <c r="J130" s="9">
        <v>0</v>
      </c>
      <c r="K130" s="8">
        <f t="shared" si="22"/>
        <v>0</v>
      </c>
      <c r="L130" s="9">
        <v>0</v>
      </c>
      <c r="M130" s="9">
        <v>1500000</v>
      </c>
      <c r="N130" s="8">
        <f t="shared" si="23"/>
        <v>1500000</v>
      </c>
    </row>
    <row r="131" spans="1:14" ht="14.4" x14ac:dyDescent="0.3">
      <c r="A131" s="32">
        <f t="shared" si="9"/>
        <v>129</v>
      </c>
      <c r="B131" s="23" t="s">
        <v>125</v>
      </c>
      <c r="C131" s="8">
        <v>1541278.2</v>
      </c>
      <c r="D131" s="8">
        <v>0</v>
      </c>
      <c r="E131" s="8">
        <f t="shared" si="20"/>
        <v>-1541278.2</v>
      </c>
      <c r="F131" s="9">
        <v>1492666.2</v>
      </c>
      <c r="G131" s="9">
        <v>0</v>
      </c>
      <c r="H131" s="8">
        <f t="shared" si="21"/>
        <v>-1492666.2</v>
      </c>
      <c r="I131" s="9">
        <v>1452932.6</v>
      </c>
      <c r="J131" s="9">
        <v>0</v>
      </c>
      <c r="K131" s="8">
        <f t="shared" si="22"/>
        <v>-1452932.6</v>
      </c>
      <c r="L131" s="9">
        <v>1685143.2</v>
      </c>
      <c r="M131" s="9">
        <v>0</v>
      </c>
      <c r="N131" s="8">
        <f t="shared" si="23"/>
        <v>-1685143.2</v>
      </c>
    </row>
    <row r="132" spans="1:14" ht="14.4" x14ac:dyDescent="0.3">
      <c r="A132" s="32">
        <f t="shared" si="9"/>
        <v>130</v>
      </c>
      <c r="B132" s="23" t="s">
        <v>126</v>
      </c>
      <c r="C132" s="8">
        <v>0</v>
      </c>
      <c r="D132" s="8">
        <v>0</v>
      </c>
      <c r="E132" s="8">
        <f t="shared" si="20"/>
        <v>0</v>
      </c>
      <c r="F132" s="9">
        <v>18999.78</v>
      </c>
      <c r="G132" s="9">
        <v>0</v>
      </c>
      <c r="H132" s="8">
        <f t="shared" si="21"/>
        <v>-18999.78</v>
      </c>
      <c r="I132" s="9">
        <v>0</v>
      </c>
      <c r="J132" s="9">
        <v>0</v>
      </c>
      <c r="K132" s="8">
        <f t="shared" si="22"/>
        <v>0</v>
      </c>
      <c r="L132" s="9">
        <v>18303.3</v>
      </c>
      <c r="M132" s="9">
        <v>0</v>
      </c>
      <c r="N132" s="8">
        <f t="shared" si="23"/>
        <v>-18303.3</v>
      </c>
    </row>
    <row r="133" spans="1:14" ht="14.4" x14ac:dyDescent="0.3">
      <c r="A133" s="32">
        <f t="shared" ref="A133:A196" si="24">A132+1</f>
        <v>131</v>
      </c>
      <c r="B133" s="23" t="s">
        <v>127</v>
      </c>
      <c r="C133" s="8">
        <v>10820</v>
      </c>
      <c r="D133" s="8">
        <v>0</v>
      </c>
      <c r="E133" s="8">
        <f t="shared" si="20"/>
        <v>-10820</v>
      </c>
      <c r="F133" s="9">
        <v>0</v>
      </c>
      <c r="G133" s="9">
        <v>0</v>
      </c>
      <c r="H133" s="8">
        <f t="shared" si="21"/>
        <v>0</v>
      </c>
      <c r="I133" s="9">
        <v>3800</v>
      </c>
      <c r="J133" s="9">
        <v>0</v>
      </c>
      <c r="K133" s="8">
        <f t="shared" si="22"/>
        <v>-3800</v>
      </c>
      <c r="L133" s="9">
        <v>0</v>
      </c>
      <c r="M133" s="9">
        <v>0</v>
      </c>
      <c r="N133" s="8">
        <f t="shared" si="23"/>
        <v>0</v>
      </c>
    </row>
    <row r="134" spans="1:14" ht="14.4" x14ac:dyDescent="0.3">
      <c r="A134" s="32">
        <f t="shared" si="24"/>
        <v>132</v>
      </c>
      <c r="B134" s="23" t="s">
        <v>128</v>
      </c>
      <c r="C134" s="8">
        <v>986457.52</v>
      </c>
      <c r="D134" s="8">
        <v>0</v>
      </c>
      <c r="E134" s="8">
        <f t="shared" si="20"/>
        <v>-986457.52</v>
      </c>
      <c r="F134" s="9">
        <v>504860.34</v>
      </c>
      <c r="G134" s="9">
        <v>0</v>
      </c>
      <c r="H134" s="8">
        <f t="shared" si="21"/>
        <v>-504860.34</v>
      </c>
      <c r="I134" s="9">
        <v>2695379.73</v>
      </c>
      <c r="J134" s="9">
        <v>0</v>
      </c>
      <c r="K134" s="8">
        <f t="shared" si="22"/>
        <v>-2695379.73</v>
      </c>
      <c r="L134" s="9">
        <v>35359.99</v>
      </c>
      <c r="M134" s="9">
        <v>0</v>
      </c>
      <c r="N134" s="8">
        <f t="shared" si="23"/>
        <v>-35359.99</v>
      </c>
    </row>
    <row r="135" spans="1:14" ht="14.4" x14ac:dyDescent="0.3">
      <c r="A135" s="32">
        <f t="shared" si="24"/>
        <v>133</v>
      </c>
      <c r="B135" s="23" t="s">
        <v>129</v>
      </c>
      <c r="C135" s="8">
        <v>0</v>
      </c>
      <c r="D135" s="8">
        <v>50850</v>
      </c>
      <c r="E135" s="8">
        <f t="shared" si="20"/>
        <v>50850</v>
      </c>
      <c r="F135" s="9">
        <v>0</v>
      </c>
      <c r="G135" s="9">
        <v>335811</v>
      </c>
      <c r="H135" s="8">
        <f t="shared" si="21"/>
        <v>335811</v>
      </c>
      <c r="I135" s="9">
        <v>0</v>
      </c>
      <c r="J135" s="9">
        <v>3615.48</v>
      </c>
      <c r="K135" s="8">
        <f t="shared" si="22"/>
        <v>3615.48</v>
      </c>
      <c r="L135" s="9">
        <v>0</v>
      </c>
      <c r="M135" s="9">
        <v>0</v>
      </c>
      <c r="N135" s="8">
        <f t="shared" si="23"/>
        <v>0</v>
      </c>
    </row>
    <row r="136" spans="1:14" ht="14.4" x14ac:dyDescent="0.3">
      <c r="A136" s="32">
        <f t="shared" si="24"/>
        <v>134</v>
      </c>
      <c r="B136" s="23" t="s">
        <v>130</v>
      </c>
      <c r="C136" s="8">
        <v>163134.09</v>
      </c>
      <c r="D136" s="8">
        <v>0</v>
      </c>
      <c r="E136" s="8">
        <f t="shared" si="20"/>
        <v>-163134.09</v>
      </c>
      <c r="F136" s="9">
        <v>267571.15000000002</v>
      </c>
      <c r="G136" s="9">
        <v>0</v>
      </c>
      <c r="H136" s="8">
        <f t="shared" si="21"/>
        <v>-267571.15000000002</v>
      </c>
      <c r="I136" s="9">
        <v>102245</v>
      </c>
      <c r="J136" s="9">
        <v>0</v>
      </c>
      <c r="K136" s="8">
        <f t="shared" si="22"/>
        <v>-102245</v>
      </c>
      <c r="L136" s="9">
        <v>47770</v>
      </c>
      <c r="M136" s="9">
        <v>0</v>
      </c>
      <c r="N136" s="8">
        <f t="shared" si="23"/>
        <v>-47770</v>
      </c>
    </row>
    <row r="137" spans="1:14" ht="14.4" x14ac:dyDescent="0.3">
      <c r="A137" s="32">
        <f t="shared" si="24"/>
        <v>135</v>
      </c>
      <c r="B137" s="27" t="s">
        <v>131</v>
      </c>
      <c r="C137" s="8">
        <v>250028.46</v>
      </c>
      <c r="D137" s="8">
        <v>0</v>
      </c>
      <c r="E137" s="8">
        <f t="shared" si="20"/>
        <v>-250028.46</v>
      </c>
      <c r="F137" s="9">
        <v>71240</v>
      </c>
      <c r="G137" s="9">
        <v>0</v>
      </c>
      <c r="H137" s="8">
        <f t="shared" si="21"/>
        <v>-71240</v>
      </c>
      <c r="I137" s="9">
        <v>116445.16</v>
      </c>
      <c r="J137" s="9">
        <v>0</v>
      </c>
      <c r="K137" s="8">
        <f t="shared" si="22"/>
        <v>-116445.16</v>
      </c>
      <c r="L137" s="9">
        <v>7400</v>
      </c>
      <c r="M137" s="9">
        <v>0</v>
      </c>
      <c r="N137" s="8">
        <f t="shared" si="23"/>
        <v>-7400</v>
      </c>
    </row>
    <row r="138" spans="1:14" ht="14.4" x14ac:dyDescent="0.3">
      <c r="A138" s="32">
        <f t="shared" si="24"/>
        <v>136</v>
      </c>
      <c r="B138" s="23" t="s">
        <v>132</v>
      </c>
      <c r="C138" s="8">
        <v>0</v>
      </c>
      <c r="D138" s="8">
        <v>0</v>
      </c>
      <c r="E138" s="8">
        <f t="shared" si="20"/>
        <v>0</v>
      </c>
      <c r="F138" s="9">
        <v>0</v>
      </c>
      <c r="G138" s="9">
        <v>0</v>
      </c>
      <c r="H138" s="8">
        <f t="shared" si="21"/>
        <v>0</v>
      </c>
      <c r="I138" s="9">
        <v>0</v>
      </c>
      <c r="J138" s="9">
        <v>0</v>
      </c>
      <c r="K138" s="8">
        <f t="shared" si="22"/>
        <v>0</v>
      </c>
      <c r="L138" s="9">
        <v>0</v>
      </c>
      <c r="M138" s="9">
        <v>0</v>
      </c>
      <c r="N138" s="8">
        <f t="shared" si="23"/>
        <v>0</v>
      </c>
    </row>
    <row r="139" spans="1:14" ht="14.4" x14ac:dyDescent="0.3">
      <c r="A139" s="32">
        <f t="shared" si="24"/>
        <v>137</v>
      </c>
      <c r="B139" s="28" t="s">
        <v>278</v>
      </c>
      <c r="C139" s="8">
        <v>0</v>
      </c>
      <c r="D139" s="8">
        <v>0</v>
      </c>
      <c r="E139" s="8">
        <f t="shared" si="20"/>
        <v>0</v>
      </c>
      <c r="F139" s="9">
        <v>0</v>
      </c>
      <c r="G139" s="9">
        <v>0</v>
      </c>
      <c r="H139" s="8">
        <f t="shared" si="21"/>
        <v>0</v>
      </c>
      <c r="I139" s="9">
        <v>0</v>
      </c>
      <c r="J139" s="9">
        <v>0</v>
      </c>
      <c r="K139" s="8">
        <f t="shared" si="22"/>
        <v>0</v>
      </c>
      <c r="L139" s="9">
        <v>20251143</v>
      </c>
      <c r="M139" s="9">
        <v>0</v>
      </c>
      <c r="N139" s="8">
        <f t="shared" si="23"/>
        <v>-20251143</v>
      </c>
    </row>
    <row r="140" spans="1:14" ht="14.4" x14ac:dyDescent="0.3">
      <c r="A140" s="32">
        <f t="shared" si="24"/>
        <v>138</v>
      </c>
      <c r="B140" s="23" t="s">
        <v>279</v>
      </c>
      <c r="C140" s="8">
        <v>582500</v>
      </c>
      <c r="D140" s="8">
        <v>0</v>
      </c>
      <c r="E140" s="8">
        <f t="shared" si="20"/>
        <v>-582500</v>
      </c>
      <c r="F140" s="9">
        <v>650000</v>
      </c>
      <c r="G140" s="9">
        <v>0</v>
      </c>
      <c r="H140" s="8">
        <f t="shared" si="21"/>
        <v>-650000</v>
      </c>
      <c r="I140" s="9">
        <v>0</v>
      </c>
      <c r="J140" s="9">
        <v>0</v>
      </c>
      <c r="K140" s="8">
        <f t="shared" si="22"/>
        <v>0</v>
      </c>
      <c r="L140" s="9">
        <v>523896</v>
      </c>
      <c r="M140" s="9">
        <v>0</v>
      </c>
      <c r="N140" s="8">
        <f t="shared" si="23"/>
        <v>-523896</v>
      </c>
    </row>
    <row r="141" spans="1:14" ht="14.4" x14ac:dyDescent="0.3">
      <c r="A141" s="32">
        <f t="shared" si="24"/>
        <v>139</v>
      </c>
      <c r="B141" s="23" t="s">
        <v>280</v>
      </c>
      <c r="C141" s="8">
        <v>0</v>
      </c>
      <c r="D141" s="8">
        <v>0</v>
      </c>
      <c r="E141" s="8">
        <f t="shared" si="20"/>
        <v>0</v>
      </c>
      <c r="F141" s="9">
        <v>0</v>
      </c>
      <c r="G141" s="9">
        <v>0</v>
      </c>
      <c r="H141" s="8">
        <f t="shared" si="21"/>
        <v>0</v>
      </c>
      <c r="I141" s="9">
        <v>0</v>
      </c>
      <c r="J141" s="9">
        <v>0</v>
      </c>
      <c r="K141" s="8">
        <f t="shared" si="22"/>
        <v>0</v>
      </c>
      <c r="L141" s="9">
        <v>0</v>
      </c>
      <c r="M141" s="9">
        <v>0</v>
      </c>
      <c r="N141" s="8">
        <f t="shared" si="23"/>
        <v>0</v>
      </c>
    </row>
    <row r="142" spans="1:14" ht="14.4" x14ac:dyDescent="0.3">
      <c r="A142" s="32">
        <f t="shared" si="24"/>
        <v>140</v>
      </c>
      <c r="B142" s="23" t="s">
        <v>281</v>
      </c>
      <c r="C142" s="8">
        <v>0</v>
      </c>
      <c r="D142" s="8">
        <v>0</v>
      </c>
      <c r="E142" s="8">
        <f t="shared" si="20"/>
        <v>0</v>
      </c>
      <c r="F142" s="9">
        <v>58000</v>
      </c>
      <c r="G142" s="9">
        <v>0</v>
      </c>
      <c r="H142" s="8">
        <f t="shared" si="21"/>
        <v>-58000</v>
      </c>
      <c r="I142" s="9">
        <v>0</v>
      </c>
      <c r="J142" s="9">
        <v>0</v>
      </c>
      <c r="K142" s="8">
        <f t="shared" si="22"/>
        <v>0</v>
      </c>
      <c r="L142" s="9">
        <v>0</v>
      </c>
      <c r="M142" s="9">
        <v>0</v>
      </c>
      <c r="N142" s="8">
        <f t="shared" si="23"/>
        <v>0</v>
      </c>
    </row>
    <row r="143" spans="1:14" ht="14.4" x14ac:dyDescent="0.3">
      <c r="A143" s="32">
        <f t="shared" si="24"/>
        <v>141</v>
      </c>
      <c r="B143" s="23" t="s">
        <v>282</v>
      </c>
      <c r="C143" s="8">
        <v>0</v>
      </c>
      <c r="D143" s="8">
        <v>0</v>
      </c>
      <c r="E143" s="8">
        <f t="shared" si="20"/>
        <v>0</v>
      </c>
      <c r="F143" s="9">
        <v>0</v>
      </c>
      <c r="G143" s="9">
        <v>0</v>
      </c>
      <c r="H143" s="8">
        <f t="shared" si="21"/>
        <v>0</v>
      </c>
      <c r="I143" s="9">
        <v>0</v>
      </c>
      <c r="J143" s="9">
        <v>0</v>
      </c>
      <c r="K143" s="8">
        <f t="shared" si="22"/>
        <v>0</v>
      </c>
      <c r="L143" s="9">
        <v>0</v>
      </c>
      <c r="M143" s="9">
        <v>0</v>
      </c>
      <c r="N143" s="8">
        <f t="shared" si="23"/>
        <v>0</v>
      </c>
    </row>
    <row r="144" spans="1:14" ht="14.4" x14ac:dyDescent="0.3">
      <c r="A144" s="32">
        <f t="shared" si="24"/>
        <v>142</v>
      </c>
      <c r="B144" s="23" t="s">
        <v>283</v>
      </c>
      <c r="C144" s="8">
        <v>0</v>
      </c>
      <c r="D144" s="8">
        <v>0</v>
      </c>
      <c r="E144" s="8">
        <f t="shared" si="20"/>
        <v>0</v>
      </c>
      <c r="F144" s="9">
        <v>0</v>
      </c>
      <c r="G144" s="9">
        <v>0</v>
      </c>
      <c r="H144" s="8">
        <f t="shared" si="21"/>
        <v>0</v>
      </c>
      <c r="I144" s="9">
        <v>0</v>
      </c>
      <c r="J144" s="9">
        <v>0</v>
      </c>
      <c r="K144" s="8">
        <f t="shared" si="22"/>
        <v>0</v>
      </c>
      <c r="L144" s="9">
        <v>0</v>
      </c>
      <c r="M144" s="9">
        <v>0</v>
      </c>
      <c r="N144" s="8">
        <f t="shared" si="23"/>
        <v>0</v>
      </c>
    </row>
    <row r="145" spans="1:14" ht="14.4" x14ac:dyDescent="0.3">
      <c r="A145" s="32">
        <f t="shared" si="24"/>
        <v>143</v>
      </c>
      <c r="B145" s="23" t="s">
        <v>284</v>
      </c>
      <c r="C145" s="8">
        <v>0</v>
      </c>
      <c r="D145" s="8">
        <v>0</v>
      </c>
      <c r="E145" s="8">
        <f t="shared" si="20"/>
        <v>0</v>
      </c>
      <c r="F145" s="9">
        <v>0</v>
      </c>
      <c r="G145" s="9">
        <v>0</v>
      </c>
      <c r="H145" s="8">
        <f t="shared" si="21"/>
        <v>0</v>
      </c>
      <c r="I145" s="9">
        <v>0</v>
      </c>
      <c r="J145" s="9">
        <v>0</v>
      </c>
      <c r="K145" s="8">
        <f t="shared" si="22"/>
        <v>0</v>
      </c>
      <c r="L145" s="9">
        <v>0</v>
      </c>
      <c r="M145" s="9">
        <v>0</v>
      </c>
      <c r="N145" s="8">
        <f t="shared" si="23"/>
        <v>0</v>
      </c>
    </row>
    <row r="146" spans="1:14" ht="14.4" x14ac:dyDescent="0.3">
      <c r="A146" s="32">
        <f t="shared" si="24"/>
        <v>144</v>
      </c>
      <c r="B146" s="23" t="s">
        <v>285</v>
      </c>
      <c r="C146" s="8">
        <v>0</v>
      </c>
      <c r="D146" s="8">
        <v>0</v>
      </c>
      <c r="E146" s="8">
        <f t="shared" si="20"/>
        <v>0</v>
      </c>
      <c r="F146" s="9">
        <v>0</v>
      </c>
      <c r="G146" s="9">
        <v>0</v>
      </c>
      <c r="H146" s="8">
        <f t="shared" si="21"/>
        <v>0</v>
      </c>
      <c r="I146" s="9">
        <v>0</v>
      </c>
      <c r="J146" s="9">
        <v>0</v>
      </c>
      <c r="K146" s="8">
        <f t="shared" si="22"/>
        <v>0</v>
      </c>
      <c r="L146" s="9">
        <v>0</v>
      </c>
      <c r="M146" s="9">
        <v>0</v>
      </c>
      <c r="N146" s="8">
        <f t="shared" si="23"/>
        <v>0</v>
      </c>
    </row>
    <row r="147" spans="1:14" ht="14.4" x14ac:dyDescent="0.3">
      <c r="A147" s="32">
        <f t="shared" si="24"/>
        <v>145</v>
      </c>
      <c r="B147" s="23" t="s">
        <v>286</v>
      </c>
      <c r="C147" s="8">
        <v>0</v>
      </c>
      <c r="D147" s="8">
        <v>0</v>
      </c>
      <c r="E147" s="8">
        <f t="shared" si="20"/>
        <v>0</v>
      </c>
      <c r="F147" s="9">
        <v>0</v>
      </c>
      <c r="G147" s="9">
        <v>0</v>
      </c>
      <c r="H147" s="8">
        <f t="shared" si="21"/>
        <v>0</v>
      </c>
      <c r="I147" s="9">
        <v>0</v>
      </c>
      <c r="J147" s="9">
        <v>0</v>
      </c>
      <c r="K147" s="8">
        <f t="shared" si="22"/>
        <v>0</v>
      </c>
      <c r="L147" s="9">
        <v>0</v>
      </c>
      <c r="M147" s="9">
        <v>0</v>
      </c>
      <c r="N147" s="8">
        <f t="shared" si="23"/>
        <v>0</v>
      </c>
    </row>
    <row r="148" spans="1:14" ht="14.4" x14ac:dyDescent="0.3">
      <c r="A148" s="32">
        <f t="shared" si="24"/>
        <v>146</v>
      </c>
      <c r="B148" s="23" t="s">
        <v>287</v>
      </c>
      <c r="C148" s="8">
        <v>0</v>
      </c>
      <c r="D148" s="8">
        <v>0</v>
      </c>
      <c r="E148" s="8">
        <f t="shared" si="20"/>
        <v>0</v>
      </c>
      <c r="F148" s="9">
        <v>0</v>
      </c>
      <c r="G148" s="9">
        <v>0</v>
      </c>
      <c r="H148" s="8">
        <f t="shared" si="21"/>
        <v>0</v>
      </c>
      <c r="I148" s="9">
        <v>30525</v>
      </c>
      <c r="J148" s="9">
        <v>0</v>
      </c>
      <c r="K148" s="8">
        <f t="shared" si="22"/>
        <v>-30525</v>
      </c>
      <c r="L148" s="9">
        <v>0</v>
      </c>
      <c r="M148" s="9">
        <v>0</v>
      </c>
      <c r="N148" s="8">
        <f t="shared" si="23"/>
        <v>0</v>
      </c>
    </row>
    <row r="149" spans="1:14" ht="14.4" x14ac:dyDescent="0.3">
      <c r="A149" s="32">
        <f t="shared" si="24"/>
        <v>147</v>
      </c>
      <c r="B149" s="23" t="s">
        <v>288</v>
      </c>
      <c r="C149" s="8">
        <v>0</v>
      </c>
      <c r="D149" s="8">
        <v>135480</v>
      </c>
      <c r="E149" s="8">
        <f t="shared" si="20"/>
        <v>135480</v>
      </c>
      <c r="F149" s="9">
        <v>0</v>
      </c>
      <c r="G149" s="9">
        <v>28945.81</v>
      </c>
      <c r="H149" s="8">
        <f t="shared" si="21"/>
        <v>28945.81</v>
      </c>
      <c r="I149" s="9">
        <v>0</v>
      </c>
      <c r="J149" s="9">
        <v>18404.259999999998</v>
      </c>
      <c r="K149" s="8">
        <f t="shared" si="22"/>
        <v>18404.259999999998</v>
      </c>
      <c r="L149" s="9">
        <v>0</v>
      </c>
      <c r="M149" s="9">
        <v>22428.46</v>
      </c>
      <c r="N149" s="8">
        <f t="shared" si="23"/>
        <v>22428.46</v>
      </c>
    </row>
    <row r="150" spans="1:14" ht="14.4" x14ac:dyDescent="0.3">
      <c r="A150" s="32">
        <f t="shared" si="24"/>
        <v>148</v>
      </c>
      <c r="B150" s="23" t="s">
        <v>289</v>
      </c>
      <c r="C150" s="8">
        <v>0</v>
      </c>
      <c r="D150" s="8">
        <v>0</v>
      </c>
      <c r="E150" s="8">
        <f t="shared" si="20"/>
        <v>0</v>
      </c>
      <c r="F150" s="9">
        <v>0</v>
      </c>
      <c r="G150" s="9">
        <v>0</v>
      </c>
      <c r="H150" s="8">
        <f t="shared" si="21"/>
        <v>0</v>
      </c>
      <c r="I150" s="9">
        <v>0</v>
      </c>
      <c r="J150" s="9">
        <v>0</v>
      </c>
      <c r="K150" s="8">
        <f t="shared" si="22"/>
        <v>0</v>
      </c>
      <c r="L150" s="9">
        <v>0</v>
      </c>
      <c r="M150" s="9">
        <v>0</v>
      </c>
      <c r="N150" s="8">
        <f t="shared" si="23"/>
        <v>0</v>
      </c>
    </row>
    <row r="151" spans="1:14" ht="14.4" x14ac:dyDescent="0.3">
      <c r="A151" s="32">
        <f t="shared" si="24"/>
        <v>149</v>
      </c>
      <c r="B151" s="23" t="s">
        <v>290</v>
      </c>
      <c r="C151" s="8">
        <v>0</v>
      </c>
      <c r="D151" s="8">
        <v>0</v>
      </c>
      <c r="E151" s="8">
        <f t="shared" si="20"/>
        <v>0</v>
      </c>
      <c r="F151" s="9">
        <v>0</v>
      </c>
      <c r="G151" s="9">
        <v>0</v>
      </c>
      <c r="H151" s="8">
        <f t="shared" si="21"/>
        <v>0</v>
      </c>
      <c r="I151" s="9">
        <v>0</v>
      </c>
      <c r="J151" s="9">
        <v>0</v>
      </c>
      <c r="K151" s="8">
        <f t="shared" si="22"/>
        <v>0</v>
      </c>
      <c r="L151" s="9">
        <v>0</v>
      </c>
      <c r="M151" s="9">
        <v>0</v>
      </c>
      <c r="N151" s="8">
        <f t="shared" si="23"/>
        <v>0</v>
      </c>
    </row>
    <row r="152" spans="1:14" ht="14.4" x14ac:dyDescent="0.3">
      <c r="A152" s="32">
        <f t="shared" si="24"/>
        <v>150</v>
      </c>
      <c r="B152" s="23" t="s">
        <v>291</v>
      </c>
      <c r="C152" s="8">
        <v>0</v>
      </c>
      <c r="D152" s="8">
        <v>0</v>
      </c>
      <c r="E152" s="8">
        <f t="shared" si="20"/>
        <v>0</v>
      </c>
      <c r="F152" s="9">
        <v>0</v>
      </c>
      <c r="G152" s="9">
        <v>0</v>
      </c>
      <c r="H152" s="8">
        <f t="shared" si="21"/>
        <v>0</v>
      </c>
      <c r="I152" s="9">
        <v>0</v>
      </c>
      <c r="J152" s="9">
        <v>0</v>
      </c>
      <c r="K152" s="8">
        <f t="shared" si="22"/>
        <v>0</v>
      </c>
      <c r="L152" s="9">
        <v>0</v>
      </c>
      <c r="M152" s="9">
        <v>0</v>
      </c>
      <c r="N152" s="8">
        <f t="shared" si="23"/>
        <v>0</v>
      </c>
    </row>
    <row r="153" spans="1:14" ht="14.4" x14ac:dyDescent="0.3">
      <c r="A153" s="32">
        <f t="shared" si="24"/>
        <v>151</v>
      </c>
      <c r="B153" s="23" t="s">
        <v>292</v>
      </c>
      <c r="C153" s="8">
        <v>0</v>
      </c>
      <c r="D153" s="8">
        <v>0</v>
      </c>
      <c r="E153" s="8">
        <f t="shared" ref="E153:E181" si="25">-C153+D153</f>
        <v>0</v>
      </c>
      <c r="F153" s="9">
        <v>0</v>
      </c>
      <c r="G153" s="9">
        <v>0</v>
      </c>
      <c r="H153" s="8">
        <f t="shared" ref="H153:H181" si="26">-F153+G153</f>
        <v>0</v>
      </c>
      <c r="I153" s="9">
        <v>0</v>
      </c>
      <c r="J153" s="9">
        <v>0</v>
      </c>
      <c r="K153" s="8">
        <f t="shared" ref="K153:K181" si="27">-I153+J153</f>
        <v>0</v>
      </c>
      <c r="L153" s="9">
        <v>0</v>
      </c>
      <c r="M153" s="9">
        <v>0</v>
      </c>
      <c r="N153" s="8">
        <f t="shared" ref="N153:N181" si="28">-L153+M153</f>
        <v>0</v>
      </c>
    </row>
    <row r="154" spans="1:14" ht="14.4" x14ac:dyDescent="0.3">
      <c r="A154" s="32">
        <f t="shared" si="24"/>
        <v>152</v>
      </c>
      <c r="B154" s="23" t="s">
        <v>293</v>
      </c>
      <c r="C154" s="8">
        <v>0</v>
      </c>
      <c r="D154" s="8">
        <v>0</v>
      </c>
      <c r="E154" s="8">
        <f t="shared" si="25"/>
        <v>0</v>
      </c>
      <c r="F154" s="9">
        <v>0</v>
      </c>
      <c r="G154" s="9">
        <v>0</v>
      </c>
      <c r="H154" s="8">
        <f t="shared" si="26"/>
        <v>0</v>
      </c>
      <c r="I154" s="9">
        <v>0</v>
      </c>
      <c r="J154" s="9">
        <v>0</v>
      </c>
      <c r="K154" s="8">
        <f t="shared" si="27"/>
        <v>0</v>
      </c>
      <c r="L154" s="9">
        <v>0</v>
      </c>
      <c r="M154" s="9">
        <v>0</v>
      </c>
      <c r="N154" s="8">
        <f t="shared" si="28"/>
        <v>0</v>
      </c>
    </row>
    <row r="155" spans="1:14" ht="14.4" x14ac:dyDescent="0.3">
      <c r="A155" s="32">
        <f t="shared" si="24"/>
        <v>153</v>
      </c>
      <c r="B155" s="23" t="s">
        <v>294</v>
      </c>
      <c r="C155" s="8">
        <v>32579.97</v>
      </c>
      <c r="D155" s="8">
        <v>0</v>
      </c>
      <c r="E155" s="8">
        <f t="shared" si="25"/>
        <v>-32579.97</v>
      </c>
      <c r="F155" s="9">
        <v>35210.769999999997</v>
      </c>
      <c r="G155" s="9">
        <v>0</v>
      </c>
      <c r="H155" s="8">
        <f t="shared" si="26"/>
        <v>-35210.769999999997</v>
      </c>
      <c r="I155" s="9">
        <v>33614.65</v>
      </c>
      <c r="J155" s="9">
        <v>0</v>
      </c>
      <c r="K155" s="8">
        <f t="shared" si="27"/>
        <v>-33614.65</v>
      </c>
      <c r="L155" s="9">
        <v>23490.6</v>
      </c>
      <c r="M155" s="9">
        <v>0</v>
      </c>
      <c r="N155" s="8">
        <f t="shared" si="28"/>
        <v>-23490.6</v>
      </c>
    </row>
    <row r="156" spans="1:14" ht="14.4" x14ac:dyDescent="0.3">
      <c r="A156" s="32">
        <f t="shared" si="24"/>
        <v>154</v>
      </c>
      <c r="B156" s="23" t="s">
        <v>295</v>
      </c>
      <c r="C156" s="8">
        <v>0</v>
      </c>
      <c r="D156" s="8">
        <v>0</v>
      </c>
      <c r="E156" s="8">
        <f t="shared" si="25"/>
        <v>0</v>
      </c>
      <c r="F156" s="9">
        <v>0</v>
      </c>
      <c r="G156" s="9">
        <v>0</v>
      </c>
      <c r="H156" s="8">
        <f t="shared" si="26"/>
        <v>0</v>
      </c>
      <c r="I156" s="9">
        <v>0</v>
      </c>
      <c r="J156" s="9">
        <v>0</v>
      </c>
      <c r="K156" s="8">
        <f t="shared" si="27"/>
        <v>0</v>
      </c>
      <c r="L156" s="9">
        <v>0</v>
      </c>
      <c r="M156" s="9">
        <v>0</v>
      </c>
      <c r="N156" s="8">
        <f t="shared" si="28"/>
        <v>0</v>
      </c>
    </row>
    <row r="157" spans="1:14" ht="14.4" x14ac:dyDescent="0.3">
      <c r="A157" s="32">
        <f t="shared" si="24"/>
        <v>155</v>
      </c>
      <c r="B157" s="23" t="s">
        <v>296</v>
      </c>
      <c r="C157" s="8">
        <v>2783878.6</v>
      </c>
      <c r="D157" s="8">
        <v>0</v>
      </c>
      <c r="E157" s="8">
        <f t="shared" si="25"/>
        <v>-2783878.6</v>
      </c>
      <c r="F157" s="9">
        <v>707055.7</v>
      </c>
      <c r="G157" s="9">
        <v>0</v>
      </c>
      <c r="H157" s="8">
        <f t="shared" si="26"/>
        <v>-707055.7</v>
      </c>
      <c r="I157" s="9">
        <v>1742021.6</v>
      </c>
      <c r="J157" s="9">
        <v>0</v>
      </c>
      <c r="K157" s="8">
        <f t="shared" si="27"/>
        <v>-1742021.6</v>
      </c>
      <c r="L157" s="9">
        <v>1532065.9</v>
      </c>
      <c r="M157" s="9">
        <v>0</v>
      </c>
      <c r="N157" s="8">
        <f t="shared" si="28"/>
        <v>-1532065.9</v>
      </c>
    </row>
    <row r="158" spans="1:14" ht="14.4" x14ac:dyDescent="0.3">
      <c r="A158" s="32">
        <f t="shared" si="24"/>
        <v>156</v>
      </c>
      <c r="B158" s="23" t="s">
        <v>297</v>
      </c>
      <c r="C158" s="8">
        <v>4184673.77</v>
      </c>
      <c r="D158" s="8">
        <v>0</v>
      </c>
      <c r="E158" s="8">
        <f t="shared" si="25"/>
        <v>-4184673.77</v>
      </c>
      <c r="F158" s="9">
        <v>3531672.67</v>
      </c>
      <c r="G158" s="9">
        <v>0</v>
      </c>
      <c r="H158" s="8">
        <f t="shared" si="26"/>
        <v>-3531672.67</v>
      </c>
      <c r="I158" s="9">
        <v>3051980.76</v>
      </c>
      <c r="J158" s="9">
        <v>0</v>
      </c>
      <c r="K158" s="8">
        <f t="shared" si="27"/>
        <v>-3051980.76</v>
      </c>
      <c r="L158" s="9">
        <v>3717512.86</v>
      </c>
      <c r="M158" s="9">
        <v>0</v>
      </c>
      <c r="N158" s="8">
        <f t="shared" si="28"/>
        <v>-3717512.86</v>
      </c>
    </row>
    <row r="159" spans="1:14" ht="14.4" x14ac:dyDescent="0.3">
      <c r="A159" s="32">
        <f t="shared" si="24"/>
        <v>157</v>
      </c>
      <c r="B159" s="23" t="s">
        <v>298</v>
      </c>
      <c r="C159" s="8">
        <v>0</v>
      </c>
      <c r="D159" s="8">
        <v>0</v>
      </c>
      <c r="E159" s="8">
        <f t="shared" si="25"/>
        <v>0</v>
      </c>
      <c r="F159" s="9">
        <v>0</v>
      </c>
      <c r="G159" s="9">
        <v>0</v>
      </c>
      <c r="H159" s="8">
        <f t="shared" si="26"/>
        <v>0</v>
      </c>
      <c r="I159" s="9">
        <v>0</v>
      </c>
      <c r="J159" s="9">
        <v>0</v>
      </c>
      <c r="K159" s="8">
        <f t="shared" si="27"/>
        <v>0</v>
      </c>
      <c r="L159" s="9">
        <v>0</v>
      </c>
      <c r="M159" s="9">
        <v>0</v>
      </c>
      <c r="N159" s="8">
        <f t="shared" si="28"/>
        <v>0</v>
      </c>
    </row>
    <row r="160" spans="1:14" ht="14.4" x14ac:dyDescent="0.3">
      <c r="A160" s="32">
        <f t="shared" si="24"/>
        <v>158</v>
      </c>
      <c r="B160" s="23" t="s">
        <v>299</v>
      </c>
      <c r="C160" s="8">
        <v>0</v>
      </c>
      <c r="D160" s="8">
        <v>0</v>
      </c>
      <c r="E160" s="8">
        <f t="shared" si="25"/>
        <v>0</v>
      </c>
      <c r="F160" s="9">
        <v>0</v>
      </c>
      <c r="G160" s="9">
        <v>0</v>
      </c>
      <c r="H160" s="8">
        <f t="shared" si="26"/>
        <v>0</v>
      </c>
      <c r="I160" s="9">
        <v>0</v>
      </c>
      <c r="J160" s="9">
        <v>0</v>
      </c>
      <c r="K160" s="8">
        <f t="shared" si="27"/>
        <v>0</v>
      </c>
      <c r="L160" s="9">
        <v>0</v>
      </c>
      <c r="M160" s="9">
        <v>0</v>
      </c>
      <c r="N160" s="8">
        <f t="shared" si="28"/>
        <v>0</v>
      </c>
    </row>
    <row r="161" spans="1:14" ht="14.4" x14ac:dyDescent="0.3">
      <c r="A161" s="32">
        <f t="shared" si="24"/>
        <v>159</v>
      </c>
      <c r="B161" s="23" t="s">
        <v>300</v>
      </c>
      <c r="C161" s="8">
        <v>0</v>
      </c>
      <c r="D161" s="8">
        <v>0</v>
      </c>
      <c r="E161" s="8">
        <f t="shared" si="25"/>
        <v>0</v>
      </c>
      <c r="F161" s="9">
        <v>0</v>
      </c>
      <c r="G161" s="9">
        <v>0</v>
      </c>
      <c r="H161" s="8">
        <f t="shared" si="26"/>
        <v>0</v>
      </c>
      <c r="I161" s="9">
        <v>0</v>
      </c>
      <c r="J161" s="9">
        <v>0</v>
      </c>
      <c r="K161" s="8">
        <f t="shared" si="27"/>
        <v>0</v>
      </c>
      <c r="L161" s="9">
        <v>0</v>
      </c>
      <c r="M161" s="9">
        <v>0</v>
      </c>
      <c r="N161" s="8">
        <f t="shared" si="28"/>
        <v>0</v>
      </c>
    </row>
    <row r="162" spans="1:14" ht="14.4" x14ac:dyDescent="0.3">
      <c r="A162" s="32">
        <f t="shared" si="24"/>
        <v>160</v>
      </c>
      <c r="B162" s="23" t="s">
        <v>301</v>
      </c>
      <c r="C162" s="8">
        <v>28761128.649999999</v>
      </c>
      <c r="D162" s="8">
        <v>0</v>
      </c>
      <c r="E162" s="8">
        <f t="shared" si="25"/>
        <v>-28761128.649999999</v>
      </c>
      <c r="F162" s="9">
        <v>5315683.4000000004</v>
      </c>
      <c r="G162" s="9">
        <v>0</v>
      </c>
      <c r="H162" s="8">
        <f t="shared" si="26"/>
        <v>-5315683.4000000004</v>
      </c>
      <c r="I162" s="9">
        <v>21451564.34</v>
      </c>
      <c r="J162" s="9">
        <v>0</v>
      </c>
      <c r="K162" s="8">
        <f t="shared" si="27"/>
        <v>-21451564.34</v>
      </c>
      <c r="L162" s="9">
        <v>20301429.43</v>
      </c>
      <c r="M162" s="9">
        <v>0</v>
      </c>
      <c r="N162" s="8">
        <f t="shared" si="28"/>
        <v>-20301429.43</v>
      </c>
    </row>
    <row r="163" spans="1:14" ht="14.4" x14ac:dyDescent="0.3">
      <c r="A163" s="32">
        <f t="shared" si="24"/>
        <v>161</v>
      </c>
      <c r="B163" s="23" t="s">
        <v>302</v>
      </c>
      <c r="C163" s="8">
        <v>0</v>
      </c>
      <c r="D163" s="8">
        <v>0</v>
      </c>
      <c r="E163" s="8">
        <f t="shared" si="25"/>
        <v>0</v>
      </c>
      <c r="F163" s="9">
        <v>0</v>
      </c>
      <c r="G163" s="9">
        <v>0</v>
      </c>
      <c r="H163" s="8">
        <f t="shared" si="26"/>
        <v>0</v>
      </c>
      <c r="I163" s="9">
        <v>0</v>
      </c>
      <c r="J163" s="9">
        <v>4040649</v>
      </c>
      <c r="K163" s="8">
        <f t="shared" si="27"/>
        <v>4040649</v>
      </c>
      <c r="L163" s="9">
        <v>0</v>
      </c>
      <c r="M163" s="9">
        <v>0</v>
      </c>
      <c r="N163" s="8">
        <f t="shared" si="28"/>
        <v>0</v>
      </c>
    </row>
    <row r="164" spans="1:14" ht="14.4" x14ac:dyDescent="0.3">
      <c r="A164" s="32">
        <f t="shared" si="24"/>
        <v>162</v>
      </c>
      <c r="B164" s="23" t="s">
        <v>303</v>
      </c>
      <c r="C164" s="8">
        <v>2277438.5299999998</v>
      </c>
      <c r="D164" s="8">
        <v>0</v>
      </c>
      <c r="E164" s="8">
        <f t="shared" si="25"/>
        <v>-2277438.5299999998</v>
      </c>
      <c r="F164" s="9">
        <v>1683940.49</v>
      </c>
      <c r="G164" s="9">
        <v>0</v>
      </c>
      <c r="H164" s="8">
        <f t="shared" si="26"/>
        <v>-1683940.49</v>
      </c>
      <c r="I164" s="9">
        <v>2029065.56</v>
      </c>
      <c r="J164" s="9">
        <v>0</v>
      </c>
      <c r="K164" s="8">
        <f t="shared" si="27"/>
        <v>-2029065.56</v>
      </c>
      <c r="L164" s="9">
        <v>2183351.06</v>
      </c>
      <c r="M164" s="9">
        <v>0</v>
      </c>
      <c r="N164" s="8">
        <f t="shared" si="28"/>
        <v>-2183351.06</v>
      </c>
    </row>
    <row r="165" spans="1:14" ht="14.4" x14ac:dyDescent="0.3">
      <c r="A165" s="32">
        <f t="shared" si="24"/>
        <v>163</v>
      </c>
      <c r="B165" s="23" t="s">
        <v>304</v>
      </c>
      <c r="C165" s="8">
        <v>0</v>
      </c>
      <c r="D165" s="8">
        <v>0</v>
      </c>
      <c r="E165" s="8">
        <f t="shared" si="25"/>
        <v>0</v>
      </c>
      <c r="F165" s="9">
        <v>0</v>
      </c>
      <c r="G165" s="9">
        <v>0</v>
      </c>
      <c r="H165" s="8">
        <f t="shared" si="26"/>
        <v>0</v>
      </c>
      <c r="I165" s="9">
        <v>0</v>
      </c>
      <c r="J165" s="9">
        <v>0</v>
      </c>
      <c r="K165" s="8">
        <f t="shared" si="27"/>
        <v>0</v>
      </c>
      <c r="L165" s="9">
        <v>0</v>
      </c>
      <c r="M165" s="9">
        <v>0</v>
      </c>
      <c r="N165" s="8">
        <f t="shared" si="28"/>
        <v>0</v>
      </c>
    </row>
    <row r="166" spans="1:14" ht="14.4" x14ac:dyDescent="0.3">
      <c r="A166" s="32">
        <f t="shared" si="24"/>
        <v>164</v>
      </c>
      <c r="B166" s="23" t="s">
        <v>305</v>
      </c>
      <c r="C166" s="8">
        <v>0</v>
      </c>
      <c r="D166" s="8">
        <v>0</v>
      </c>
      <c r="E166" s="8">
        <f t="shared" si="25"/>
        <v>0</v>
      </c>
      <c r="F166" s="9">
        <v>0</v>
      </c>
      <c r="G166" s="9">
        <v>0</v>
      </c>
      <c r="H166" s="8">
        <f t="shared" si="26"/>
        <v>0</v>
      </c>
      <c r="I166" s="9">
        <v>0</v>
      </c>
      <c r="J166" s="9">
        <v>0</v>
      </c>
      <c r="K166" s="8">
        <f t="shared" si="27"/>
        <v>0</v>
      </c>
      <c r="L166" s="9">
        <v>0</v>
      </c>
      <c r="M166" s="9">
        <v>0</v>
      </c>
      <c r="N166" s="8">
        <f t="shared" si="28"/>
        <v>0</v>
      </c>
    </row>
    <row r="167" spans="1:14" ht="14.4" x14ac:dyDescent="0.3">
      <c r="A167" s="32">
        <f t="shared" si="24"/>
        <v>165</v>
      </c>
      <c r="B167" s="23" t="s">
        <v>306</v>
      </c>
      <c r="C167" s="8">
        <v>0</v>
      </c>
      <c r="D167" s="8">
        <v>0</v>
      </c>
      <c r="E167" s="8">
        <f t="shared" si="25"/>
        <v>0</v>
      </c>
      <c r="F167" s="9">
        <v>0</v>
      </c>
      <c r="G167" s="9">
        <v>0</v>
      </c>
      <c r="H167" s="8">
        <f t="shared" si="26"/>
        <v>0</v>
      </c>
      <c r="I167" s="9">
        <v>0</v>
      </c>
      <c r="J167" s="9">
        <v>0</v>
      </c>
      <c r="K167" s="8">
        <f t="shared" si="27"/>
        <v>0</v>
      </c>
      <c r="L167" s="9">
        <v>0</v>
      </c>
      <c r="M167" s="9">
        <v>0</v>
      </c>
      <c r="N167" s="8">
        <f t="shared" si="28"/>
        <v>0</v>
      </c>
    </row>
    <row r="168" spans="1:14" ht="14.4" x14ac:dyDescent="0.3">
      <c r="A168" s="32">
        <f t="shared" si="24"/>
        <v>166</v>
      </c>
      <c r="B168" s="23" t="s">
        <v>307</v>
      </c>
      <c r="C168" s="8">
        <v>85477</v>
      </c>
      <c r="D168" s="8">
        <v>0</v>
      </c>
      <c r="E168" s="8">
        <f t="shared" si="25"/>
        <v>-85477</v>
      </c>
      <c r="F168" s="9">
        <v>215532.4</v>
      </c>
      <c r="G168" s="9">
        <v>0</v>
      </c>
      <c r="H168" s="8">
        <f t="shared" si="26"/>
        <v>-215532.4</v>
      </c>
      <c r="I168" s="9">
        <v>104190</v>
      </c>
      <c r="J168" s="9">
        <v>0</v>
      </c>
      <c r="K168" s="8">
        <f t="shared" si="27"/>
        <v>-104190</v>
      </c>
      <c r="L168" s="9">
        <v>202250</v>
      </c>
      <c r="M168" s="9">
        <v>0</v>
      </c>
      <c r="N168" s="8">
        <f t="shared" si="28"/>
        <v>-202250</v>
      </c>
    </row>
    <row r="169" spans="1:14" ht="14.4" x14ac:dyDescent="0.3">
      <c r="A169" s="32">
        <f t="shared" si="24"/>
        <v>167</v>
      </c>
      <c r="B169" s="23" t="s">
        <v>308</v>
      </c>
      <c r="C169" s="8">
        <v>47127588.079999998</v>
      </c>
      <c r="D169" s="8">
        <v>0</v>
      </c>
      <c r="E169" s="8">
        <f t="shared" si="25"/>
        <v>-47127588.079999998</v>
      </c>
      <c r="F169" s="9">
        <v>40779501.770000003</v>
      </c>
      <c r="G169" s="9">
        <v>0</v>
      </c>
      <c r="H169" s="8">
        <f t="shared" si="26"/>
        <v>-40779501.770000003</v>
      </c>
      <c r="I169" s="9">
        <v>40935732.729999997</v>
      </c>
      <c r="J169" s="9">
        <v>0</v>
      </c>
      <c r="K169" s="8">
        <f t="shared" si="27"/>
        <v>-40935732.729999997</v>
      </c>
      <c r="L169" s="9">
        <v>51155132.789999999</v>
      </c>
      <c r="M169" s="9">
        <v>0</v>
      </c>
      <c r="N169" s="8">
        <f t="shared" si="28"/>
        <v>-51155132.789999999</v>
      </c>
    </row>
    <row r="170" spans="1:14" ht="14.4" x14ac:dyDescent="0.3">
      <c r="A170" s="32">
        <f t="shared" si="24"/>
        <v>168</v>
      </c>
      <c r="B170" s="23" t="s">
        <v>309</v>
      </c>
      <c r="C170" s="8">
        <v>6686671.3200000003</v>
      </c>
      <c r="D170" s="8">
        <v>0</v>
      </c>
      <c r="E170" s="8">
        <f t="shared" si="25"/>
        <v>-6686671.3200000003</v>
      </c>
      <c r="F170" s="9">
        <v>6498465.0599999996</v>
      </c>
      <c r="G170" s="9">
        <v>0</v>
      </c>
      <c r="H170" s="8">
        <f t="shared" si="26"/>
        <v>-6498465.0599999996</v>
      </c>
      <c r="I170" s="9">
        <v>5728588.5199999996</v>
      </c>
      <c r="J170" s="9">
        <v>0</v>
      </c>
      <c r="K170" s="8">
        <f t="shared" si="27"/>
        <v>-5728588.5199999996</v>
      </c>
      <c r="L170" s="9">
        <v>6921090.21</v>
      </c>
      <c r="M170" s="9">
        <v>0</v>
      </c>
      <c r="N170" s="8">
        <f t="shared" si="28"/>
        <v>-6921090.21</v>
      </c>
    </row>
    <row r="171" spans="1:14" ht="14.4" x14ac:dyDescent="0.3">
      <c r="A171" s="32">
        <f t="shared" si="24"/>
        <v>169</v>
      </c>
      <c r="B171" s="23" t="s">
        <v>310</v>
      </c>
      <c r="C171" s="8">
        <v>38950</v>
      </c>
      <c r="D171" s="8">
        <v>0</v>
      </c>
      <c r="E171" s="8">
        <f t="shared" si="25"/>
        <v>-38950</v>
      </c>
      <c r="F171" s="9">
        <v>40400</v>
      </c>
      <c r="G171" s="9">
        <v>0</v>
      </c>
      <c r="H171" s="8">
        <f t="shared" si="26"/>
        <v>-40400</v>
      </c>
      <c r="I171" s="9">
        <v>38400</v>
      </c>
      <c r="J171" s="9">
        <v>0</v>
      </c>
      <c r="K171" s="8">
        <f t="shared" si="27"/>
        <v>-38400</v>
      </c>
      <c r="L171" s="9">
        <v>38400</v>
      </c>
      <c r="M171" s="9">
        <v>0</v>
      </c>
      <c r="N171" s="8">
        <f t="shared" si="28"/>
        <v>-38400</v>
      </c>
    </row>
    <row r="172" spans="1:14" ht="14.4" x14ac:dyDescent="0.3">
      <c r="A172" s="32">
        <f t="shared" si="24"/>
        <v>170</v>
      </c>
      <c r="B172" s="23" t="s">
        <v>311</v>
      </c>
      <c r="C172" s="8">
        <v>0</v>
      </c>
      <c r="D172" s="8">
        <v>0</v>
      </c>
      <c r="E172" s="8">
        <f t="shared" si="25"/>
        <v>0</v>
      </c>
      <c r="F172" s="9">
        <v>0</v>
      </c>
      <c r="G172" s="9">
        <v>0</v>
      </c>
      <c r="H172" s="8">
        <f t="shared" si="26"/>
        <v>0</v>
      </c>
      <c r="I172" s="9">
        <v>0</v>
      </c>
      <c r="J172" s="9">
        <v>0</v>
      </c>
      <c r="K172" s="8">
        <f t="shared" si="27"/>
        <v>0</v>
      </c>
      <c r="L172" s="9">
        <v>0</v>
      </c>
      <c r="M172" s="9">
        <v>0</v>
      </c>
      <c r="N172" s="8">
        <f t="shared" si="28"/>
        <v>0</v>
      </c>
    </row>
    <row r="173" spans="1:14" ht="14.4" x14ac:dyDescent="0.3">
      <c r="A173" s="32">
        <f t="shared" si="24"/>
        <v>171</v>
      </c>
      <c r="B173" s="23" t="s">
        <v>312</v>
      </c>
      <c r="C173" s="8">
        <v>0</v>
      </c>
      <c r="D173" s="8">
        <v>0</v>
      </c>
      <c r="E173" s="8">
        <f t="shared" si="25"/>
        <v>0</v>
      </c>
      <c r="F173" s="9">
        <v>0</v>
      </c>
      <c r="G173" s="9">
        <v>0</v>
      </c>
      <c r="H173" s="8">
        <f t="shared" si="26"/>
        <v>0</v>
      </c>
      <c r="I173" s="9">
        <v>0</v>
      </c>
      <c r="J173" s="9">
        <v>0</v>
      </c>
      <c r="K173" s="8">
        <f t="shared" si="27"/>
        <v>0</v>
      </c>
      <c r="L173" s="9">
        <v>0</v>
      </c>
      <c r="M173" s="9">
        <v>0</v>
      </c>
      <c r="N173" s="8">
        <f t="shared" si="28"/>
        <v>0</v>
      </c>
    </row>
    <row r="174" spans="1:14" ht="14.4" x14ac:dyDescent="0.3">
      <c r="A174" s="32">
        <f t="shared" si="24"/>
        <v>172</v>
      </c>
      <c r="B174" s="23" t="s">
        <v>313</v>
      </c>
      <c r="C174" s="8">
        <v>0</v>
      </c>
      <c r="D174" s="8">
        <v>0</v>
      </c>
      <c r="E174" s="8">
        <f t="shared" si="25"/>
        <v>0</v>
      </c>
      <c r="F174" s="9">
        <v>0</v>
      </c>
      <c r="G174" s="9">
        <v>0</v>
      </c>
      <c r="H174" s="8">
        <f t="shared" si="26"/>
        <v>0</v>
      </c>
      <c r="I174" s="9">
        <v>0</v>
      </c>
      <c r="J174" s="9">
        <v>0</v>
      </c>
      <c r="K174" s="8">
        <f t="shared" si="27"/>
        <v>0</v>
      </c>
      <c r="L174" s="9">
        <v>0</v>
      </c>
      <c r="M174" s="9">
        <v>0</v>
      </c>
      <c r="N174" s="8">
        <f t="shared" si="28"/>
        <v>0</v>
      </c>
    </row>
    <row r="175" spans="1:14" ht="14.4" x14ac:dyDescent="0.3">
      <c r="A175" s="32">
        <f t="shared" si="24"/>
        <v>173</v>
      </c>
      <c r="B175" s="23" t="s">
        <v>314</v>
      </c>
      <c r="C175" s="8">
        <v>0</v>
      </c>
      <c r="D175" s="8">
        <v>5187406.1399999997</v>
      </c>
      <c r="E175" s="8">
        <f t="shared" si="25"/>
        <v>5187406.1399999997</v>
      </c>
      <c r="F175" s="9">
        <v>0</v>
      </c>
      <c r="G175" s="9">
        <v>4634599.74</v>
      </c>
      <c r="H175" s="8">
        <f t="shared" si="26"/>
        <v>4634599.74</v>
      </c>
      <c r="I175" s="9">
        <v>0</v>
      </c>
      <c r="J175" s="9">
        <v>3618914.58</v>
      </c>
      <c r="K175" s="8">
        <f t="shared" si="27"/>
        <v>3618914.58</v>
      </c>
      <c r="L175" s="9">
        <v>0</v>
      </c>
      <c r="M175" s="9">
        <v>4264899.46</v>
      </c>
      <c r="N175" s="8">
        <f t="shared" si="28"/>
        <v>4264899.46</v>
      </c>
    </row>
    <row r="176" spans="1:14" ht="14.4" x14ac:dyDescent="0.3">
      <c r="A176" s="32">
        <f t="shared" si="24"/>
        <v>174</v>
      </c>
      <c r="B176" s="23" t="s">
        <v>315</v>
      </c>
      <c r="C176" s="8">
        <v>0</v>
      </c>
      <c r="D176" s="8">
        <v>0</v>
      </c>
      <c r="E176" s="8">
        <f t="shared" si="25"/>
        <v>0</v>
      </c>
      <c r="F176" s="9">
        <v>0</v>
      </c>
      <c r="G176" s="9">
        <v>0</v>
      </c>
      <c r="H176" s="8">
        <f t="shared" si="26"/>
        <v>0</v>
      </c>
      <c r="I176" s="9">
        <v>0</v>
      </c>
      <c r="J176" s="9">
        <v>0</v>
      </c>
      <c r="K176" s="8">
        <f t="shared" si="27"/>
        <v>0</v>
      </c>
      <c r="L176" s="9">
        <v>0</v>
      </c>
      <c r="M176" s="9">
        <v>0</v>
      </c>
      <c r="N176" s="8">
        <f t="shared" si="28"/>
        <v>0</v>
      </c>
    </row>
    <row r="177" spans="1:14" ht="14.4" x14ac:dyDescent="0.3">
      <c r="A177" s="32">
        <f t="shared" si="24"/>
        <v>175</v>
      </c>
      <c r="B177" s="23" t="s">
        <v>316</v>
      </c>
      <c r="C177" s="8">
        <v>0</v>
      </c>
      <c r="D177" s="8">
        <v>1500</v>
      </c>
      <c r="E177" s="8">
        <f t="shared" si="25"/>
        <v>1500</v>
      </c>
      <c r="F177" s="9">
        <v>0</v>
      </c>
      <c r="G177" s="9">
        <v>507281.76</v>
      </c>
      <c r="H177" s="8">
        <f t="shared" si="26"/>
        <v>507281.76</v>
      </c>
      <c r="I177" s="9">
        <v>0</v>
      </c>
      <c r="J177" s="9">
        <v>162000</v>
      </c>
      <c r="K177" s="8">
        <f t="shared" si="27"/>
        <v>162000</v>
      </c>
      <c r="L177" s="9">
        <v>0</v>
      </c>
      <c r="M177" s="9">
        <v>565861</v>
      </c>
      <c r="N177" s="8">
        <f t="shared" si="28"/>
        <v>565861</v>
      </c>
    </row>
    <row r="178" spans="1:14" ht="14.4" x14ac:dyDescent="0.3">
      <c r="A178" s="32">
        <f t="shared" si="24"/>
        <v>176</v>
      </c>
      <c r="B178" s="29" t="s">
        <v>317</v>
      </c>
      <c r="C178" s="8">
        <v>0</v>
      </c>
      <c r="D178" s="8">
        <v>0</v>
      </c>
      <c r="E178" s="8">
        <f t="shared" si="25"/>
        <v>0</v>
      </c>
      <c r="F178" s="9">
        <v>0</v>
      </c>
      <c r="G178" s="9">
        <v>0</v>
      </c>
      <c r="H178" s="8">
        <f t="shared" si="26"/>
        <v>0</v>
      </c>
      <c r="I178" s="9">
        <v>0</v>
      </c>
      <c r="J178" s="9">
        <v>0</v>
      </c>
      <c r="K178" s="8">
        <f t="shared" si="27"/>
        <v>0</v>
      </c>
      <c r="L178" s="9">
        <v>0</v>
      </c>
      <c r="M178" s="9">
        <v>1619164.83</v>
      </c>
      <c r="N178" s="8">
        <f t="shared" si="28"/>
        <v>1619164.83</v>
      </c>
    </row>
    <row r="179" spans="1:14" ht="14.4" x14ac:dyDescent="0.3">
      <c r="A179" s="32">
        <f t="shared" si="24"/>
        <v>177</v>
      </c>
      <c r="B179" s="23" t="s">
        <v>318</v>
      </c>
      <c r="C179" s="8">
        <v>0</v>
      </c>
      <c r="D179" s="8">
        <v>0</v>
      </c>
      <c r="E179" s="8">
        <f t="shared" si="25"/>
        <v>0</v>
      </c>
      <c r="F179" s="9">
        <v>0</v>
      </c>
      <c r="G179" s="9">
        <v>0</v>
      </c>
      <c r="H179" s="8">
        <f t="shared" si="26"/>
        <v>0</v>
      </c>
      <c r="I179" s="9">
        <v>0</v>
      </c>
      <c r="J179" s="9">
        <v>0</v>
      </c>
      <c r="K179" s="8">
        <f t="shared" si="27"/>
        <v>0</v>
      </c>
      <c r="L179" s="9">
        <v>0</v>
      </c>
      <c r="M179" s="9">
        <v>0</v>
      </c>
      <c r="N179" s="8">
        <f t="shared" si="28"/>
        <v>0</v>
      </c>
    </row>
    <row r="180" spans="1:14" ht="14.4" x14ac:dyDescent="0.3">
      <c r="A180" s="32">
        <f t="shared" si="24"/>
        <v>178</v>
      </c>
      <c r="B180" s="23" t="s">
        <v>319</v>
      </c>
      <c r="C180" s="8">
        <v>0</v>
      </c>
      <c r="D180" s="8">
        <v>6000000</v>
      </c>
      <c r="E180" s="8">
        <f t="shared" si="25"/>
        <v>6000000</v>
      </c>
      <c r="F180" s="9">
        <v>9400000</v>
      </c>
      <c r="G180" s="9">
        <v>0</v>
      </c>
      <c r="H180" s="8">
        <f t="shared" si="26"/>
        <v>-9400000</v>
      </c>
      <c r="I180" s="9">
        <v>0</v>
      </c>
      <c r="J180" s="9">
        <v>500000</v>
      </c>
      <c r="K180" s="8">
        <f t="shared" si="27"/>
        <v>500000</v>
      </c>
      <c r="L180" s="9">
        <v>0</v>
      </c>
      <c r="M180" s="9">
        <v>11800000</v>
      </c>
      <c r="N180" s="8">
        <f t="shared" si="28"/>
        <v>11800000</v>
      </c>
    </row>
    <row r="181" spans="1:14" ht="14.4" x14ac:dyDescent="0.3">
      <c r="A181" s="32">
        <f t="shared" si="24"/>
        <v>179</v>
      </c>
      <c r="B181" s="24" t="s">
        <v>322</v>
      </c>
      <c r="C181" s="8">
        <v>17713</v>
      </c>
      <c r="D181" s="8">
        <v>0</v>
      </c>
      <c r="E181" s="8">
        <f t="shared" si="25"/>
        <v>-17713</v>
      </c>
      <c r="F181" s="9">
        <v>0</v>
      </c>
      <c r="G181" s="9">
        <v>0</v>
      </c>
      <c r="H181" s="8">
        <f t="shared" si="26"/>
        <v>0</v>
      </c>
      <c r="I181" s="9">
        <v>0</v>
      </c>
      <c r="J181" s="9">
        <v>0</v>
      </c>
      <c r="K181" s="8">
        <f t="shared" si="27"/>
        <v>0</v>
      </c>
      <c r="L181" s="9">
        <v>0</v>
      </c>
      <c r="M181" s="9">
        <v>0</v>
      </c>
      <c r="N181" s="8">
        <f t="shared" si="28"/>
        <v>0</v>
      </c>
    </row>
    <row r="182" spans="1:14" ht="14.4" x14ac:dyDescent="0.3">
      <c r="A182" s="32">
        <f t="shared" si="24"/>
        <v>180</v>
      </c>
      <c r="B182" s="25" t="s">
        <v>133</v>
      </c>
      <c r="C182" s="14">
        <f t="shared" ref="C182:D182" si="29">SUM(C89:C181)</f>
        <v>101086018.82999998</v>
      </c>
      <c r="D182" s="14">
        <f t="shared" si="29"/>
        <v>11375236.140000001</v>
      </c>
      <c r="E182" s="14">
        <f>SUM(E89:E181)</f>
        <v>-89710782.689999983</v>
      </c>
      <c r="F182" s="14">
        <f t="shared" ref="F182" si="30">SUM(F89:F181)</f>
        <v>74180452.150000006</v>
      </c>
      <c r="G182" s="14">
        <f t="shared" ref="G182:H182" si="31">SUM(G89:G181)</f>
        <v>5506638.3099999996</v>
      </c>
      <c r="H182" s="14">
        <f t="shared" si="31"/>
        <v>-68673813.840000004</v>
      </c>
      <c r="I182" s="14">
        <f t="shared" ref="I182" si="32">SUM(I89:I181)</f>
        <v>84151737.099999994</v>
      </c>
      <c r="J182" s="14">
        <f t="shared" ref="J182:K182" si="33">SUM(J89:J181)</f>
        <v>8643583.3200000003</v>
      </c>
      <c r="K182" s="14">
        <f t="shared" si="33"/>
        <v>-75508153.779999986</v>
      </c>
      <c r="L182" s="14">
        <f t="shared" ref="L182" si="34">SUM(L89:L181)</f>
        <v>109817399.92</v>
      </c>
      <c r="M182" s="14">
        <f t="shared" ref="M182:N182" si="35">SUM(M89:M181)</f>
        <v>20972353.75</v>
      </c>
      <c r="N182" s="14">
        <f t="shared" si="35"/>
        <v>-88845046.170000002</v>
      </c>
    </row>
    <row r="183" spans="1:14" ht="14.4" x14ac:dyDescent="0.3">
      <c r="A183" s="32">
        <f t="shared" si="24"/>
        <v>181</v>
      </c>
      <c r="B183" s="23"/>
      <c r="C183" s="8"/>
      <c r="D183" s="8"/>
      <c r="E183" s="8"/>
      <c r="F183" s="9"/>
      <c r="G183" s="9"/>
      <c r="H183" s="9"/>
      <c r="I183" s="9"/>
      <c r="J183" s="9"/>
      <c r="K183" s="9"/>
      <c r="L183" s="9"/>
      <c r="M183" s="9"/>
      <c r="N183" s="9"/>
    </row>
    <row r="184" spans="1:14" ht="14.4" x14ac:dyDescent="0.3">
      <c r="A184" s="32">
        <f t="shared" si="24"/>
        <v>182</v>
      </c>
      <c r="B184" s="23" t="s">
        <v>134</v>
      </c>
      <c r="C184" s="8">
        <v>17033.96</v>
      </c>
      <c r="D184" s="8">
        <v>0</v>
      </c>
      <c r="E184" s="8">
        <f t="shared" ref="E184:E190" si="36">-C184+D184</f>
        <v>-17033.96</v>
      </c>
      <c r="F184" s="9">
        <v>8409.83</v>
      </c>
      <c r="G184" s="9">
        <v>0</v>
      </c>
      <c r="H184" s="8">
        <f t="shared" ref="H184:H190" si="37">-F184+G184</f>
        <v>-8409.83</v>
      </c>
      <c r="I184" s="9">
        <v>34275</v>
      </c>
      <c r="J184" s="9">
        <v>0</v>
      </c>
      <c r="K184" s="8">
        <f t="shared" ref="K184:K190" si="38">-I184+J184</f>
        <v>-34275</v>
      </c>
      <c r="L184" s="9">
        <v>0</v>
      </c>
      <c r="M184" s="9">
        <v>0</v>
      </c>
      <c r="N184" s="8">
        <f t="shared" ref="N184:N190" si="39">-L184+M184</f>
        <v>0</v>
      </c>
    </row>
    <row r="185" spans="1:14" ht="14.4" x14ac:dyDescent="0.3">
      <c r="A185" s="32">
        <f t="shared" si="24"/>
        <v>183</v>
      </c>
      <c r="B185" s="23" t="s">
        <v>135</v>
      </c>
      <c r="C185" s="8">
        <v>0</v>
      </c>
      <c r="D185" s="8">
        <v>0</v>
      </c>
      <c r="E185" s="8">
        <f t="shared" si="36"/>
        <v>0</v>
      </c>
      <c r="F185" s="9">
        <v>0</v>
      </c>
      <c r="G185" s="9">
        <v>0</v>
      </c>
      <c r="H185" s="8">
        <f t="shared" si="37"/>
        <v>0</v>
      </c>
      <c r="I185" s="9">
        <v>800000</v>
      </c>
      <c r="J185" s="9">
        <v>0</v>
      </c>
      <c r="K185" s="8">
        <f t="shared" si="38"/>
        <v>-800000</v>
      </c>
      <c r="L185" s="9">
        <v>0</v>
      </c>
      <c r="M185" s="9">
        <v>1000000</v>
      </c>
      <c r="N185" s="8">
        <f t="shared" si="39"/>
        <v>1000000</v>
      </c>
    </row>
    <row r="186" spans="1:14" ht="14.4" x14ac:dyDescent="0.3">
      <c r="A186" s="32">
        <f t="shared" si="24"/>
        <v>184</v>
      </c>
      <c r="B186" s="23" t="s">
        <v>136</v>
      </c>
      <c r="C186" s="8">
        <v>148234.54</v>
      </c>
      <c r="D186" s="8">
        <v>0</v>
      </c>
      <c r="E186" s="8">
        <f t="shared" si="36"/>
        <v>-148234.54</v>
      </c>
      <c r="F186" s="9">
        <v>163427.6</v>
      </c>
      <c r="G186" s="9">
        <v>0</v>
      </c>
      <c r="H186" s="8">
        <f t="shared" si="37"/>
        <v>-163427.6</v>
      </c>
      <c r="I186" s="9">
        <v>219104.94</v>
      </c>
      <c r="J186" s="9">
        <v>0</v>
      </c>
      <c r="K186" s="8">
        <f t="shared" si="38"/>
        <v>-219104.94</v>
      </c>
      <c r="L186" s="9">
        <v>105322.25</v>
      </c>
      <c r="M186" s="9">
        <v>0</v>
      </c>
      <c r="N186" s="8">
        <f t="shared" si="39"/>
        <v>-105322.25</v>
      </c>
    </row>
    <row r="187" spans="1:14" ht="14.4" x14ac:dyDescent="0.3">
      <c r="A187" s="32">
        <f t="shared" si="24"/>
        <v>185</v>
      </c>
      <c r="B187" s="23" t="s">
        <v>137</v>
      </c>
      <c r="C187" s="8">
        <v>0</v>
      </c>
      <c r="D187" s="8">
        <v>0</v>
      </c>
      <c r="E187" s="8">
        <f t="shared" si="36"/>
        <v>0</v>
      </c>
      <c r="F187" s="9">
        <v>0</v>
      </c>
      <c r="G187" s="9">
        <v>0</v>
      </c>
      <c r="H187" s="8">
        <f t="shared" si="37"/>
        <v>0</v>
      </c>
      <c r="I187" s="9">
        <v>0</v>
      </c>
      <c r="J187" s="9">
        <v>0</v>
      </c>
      <c r="K187" s="8">
        <f t="shared" si="38"/>
        <v>0</v>
      </c>
      <c r="L187" s="9">
        <v>4591</v>
      </c>
      <c r="M187" s="9">
        <v>0</v>
      </c>
      <c r="N187" s="8">
        <f t="shared" si="39"/>
        <v>-4591</v>
      </c>
    </row>
    <row r="188" spans="1:14" ht="14.4" x14ac:dyDescent="0.3">
      <c r="A188" s="32">
        <f t="shared" si="24"/>
        <v>186</v>
      </c>
      <c r="B188" s="23" t="s">
        <v>138</v>
      </c>
      <c r="C188" s="8">
        <v>188935</v>
      </c>
      <c r="D188" s="8">
        <v>0</v>
      </c>
      <c r="E188" s="8">
        <f t="shared" si="36"/>
        <v>-188935</v>
      </c>
      <c r="F188" s="9">
        <v>175160</v>
      </c>
      <c r="G188" s="9">
        <v>0</v>
      </c>
      <c r="H188" s="8">
        <f t="shared" si="37"/>
        <v>-175160</v>
      </c>
      <c r="I188" s="9">
        <v>57830</v>
      </c>
      <c r="J188" s="9">
        <v>0</v>
      </c>
      <c r="K188" s="8">
        <f t="shared" si="38"/>
        <v>-57830</v>
      </c>
      <c r="L188" s="9">
        <v>85220</v>
      </c>
      <c r="M188" s="9">
        <v>0</v>
      </c>
      <c r="N188" s="8">
        <f t="shared" si="39"/>
        <v>-85220</v>
      </c>
    </row>
    <row r="189" spans="1:14" ht="14.4" x14ac:dyDescent="0.3">
      <c r="A189" s="32">
        <f t="shared" si="24"/>
        <v>187</v>
      </c>
      <c r="B189" s="23" t="s">
        <v>139</v>
      </c>
      <c r="C189" s="8">
        <v>10691</v>
      </c>
      <c r="D189" s="8">
        <v>0</v>
      </c>
      <c r="E189" s="8">
        <f t="shared" si="36"/>
        <v>-10691</v>
      </c>
      <c r="F189" s="9">
        <v>1880</v>
      </c>
      <c r="G189" s="9">
        <v>0</v>
      </c>
      <c r="H189" s="8">
        <f t="shared" si="37"/>
        <v>-1880</v>
      </c>
      <c r="I189" s="9">
        <v>9608</v>
      </c>
      <c r="J189" s="9">
        <v>0</v>
      </c>
      <c r="K189" s="8">
        <f t="shared" si="38"/>
        <v>-9608</v>
      </c>
      <c r="L189" s="9">
        <v>2190</v>
      </c>
      <c r="M189" s="9">
        <v>0</v>
      </c>
      <c r="N189" s="8">
        <f t="shared" si="39"/>
        <v>-2190</v>
      </c>
    </row>
    <row r="190" spans="1:14" ht="14.4" x14ac:dyDescent="0.3">
      <c r="A190" s="32">
        <f t="shared" si="24"/>
        <v>188</v>
      </c>
      <c r="B190" s="23" t="s">
        <v>140</v>
      </c>
      <c r="C190" s="8">
        <v>14867.1</v>
      </c>
      <c r="D190" s="8">
        <v>0</v>
      </c>
      <c r="E190" s="8">
        <f t="shared" si="36"/>
        <v>-14867.1</v>
      </c>
      <c r="F190" s="9">
        <v>262051.9</v>
      </c>
      <c r="G190" s="9">
        <v>0</v>
      </c>
      <c r="H190" s="8">
        <f t="shared" si="37"/>
        <v>-262051.9</v>
      </c>
      <c r="I190" s="9">
        <v>114395.72</v>
      </c>
      <c r="J190" s="9">
        <v>0</v>
      </c>
      <c r="K190" s="8">
        <f t="shared" si="38"/>
        <v>-114395.72</v>
      </c>
      <c r="L190" s="9">
        <v>318908.19</v>
      </c>
      <c r="M190" s="9">
        <v>0</v>
      </c>
      <c r="N190" s="8">
        <f t="shared" si="39"/>
        <v>-318908.19</v>
      </c>
    </row>
    <row r="191" spans="1:14" ht="14.4" x14ac:dyDescent="0.3">
      <c r="A191" s="32">
        <f t="shared" si="24"/>
        <v>189</v>
      </c>
      <c r="B191" s="25" t="s">
        <v>141</v>
      </c>
      <c r="C191" s="14">
        <f t="shared" ref="C191:D191" si="40">SUM(C184:C190)</f>
        <v>379761.6</v>
      </c>
      <c r="D191" s="14">
        <f t="shared" si="40"/>
        <v>0</v>
      </c>
      <c r="E191" s="14">
        <f>SUM(E184:E190)</f>
        <v>-379761.6</v>
      </c>
      <c r="F191" s="14">
        <f t="shared" ref="F191" si="41">SUM(F184:F190)</f>
        <v>610929.32999999996</v>
      </c>
      <c r="G191" s="14">
        <f t="shared" ref="G191:H191" si="42">SUM(G184:G190)</f>
        <v>0</v>
      </c>
      <c r="H191" s="14">
        <f t="shared" si="42"/>
        <v>-610929.32999999996</v>
      </c>
      <c r="I191" s="14">
        <f t="shared" ref="I191" si="43">SUM(I184:I190)</f>
        <v>1235213.6599999999</v>
      </c>
      <c r="J191" s="14">
        <f t="shared" ref="J191:K191" si="44">SUM(J184:J190)</f>
        <v>0</v>
      </c>
      <c r="K191" s="14">
        <f t="shared" si="44"/>
        <v>-1235213.6599999999</v>
      </c>
      <c r="L191" s="14">
        <f t="shared" ref="L191" si="45">SUM(L184:L190)</f>
        <v>516231.44</v>
      </c>
      <c r="M191" s="14">
        <f t="shared" ref="M191:N191" si="46">SUM(M184:M190)</f>
        <v>1000000</v>
      </c>
      <c r="N191" s="14">
        <f t="shared" si="46"/>
        <v>483768.56</v>
      </c>
    </row>
    <row r="192" spans="1:14" ht="14.4" x14ac:dyDescent="0.3">
      <c r="A192" s="32">
        <f t="shared" si="24"/>
        <v>190</v>
      </c>
      <c r="B192" s="23"/>
      <c r="C192" s="8"/>
      <c r="D192" s="8"/>
      <c r="E192" s="8"/>
      <c r="F192" s="9"/>
      <c r="G192" s="9"/>
      <c r="H192" s="9"/>
      <c r="I192" s="9"/>
      <c r="J192" s="9"/>
      <c r="K192" s="9"/>
      <c r="L192" s="9"/>
      <c r="M192" s="9"/>
      <c r="N192" s="9"/>
    </row>
    <row r="193" spans="1:14" ht="14.4" x14ac:dyDescent="0.3">
      <c r="A193" s="32">
        <f t="shared" si="24"/>
        <v>191</v>
      </c>
      <c r="B193" s="23" t="s">
        <v>142</v>
      </c>
      <c r="C193" s="8">
        <v>294823</v>
      </c>
      <c r="D193" s="8">
        <v>0</v>
      </c>
      <c r="E193" s="8">
        <f t="shared" ref="E193:E222" si="47">-C193+D193</f>
        <v>-294823</v>
      </c>
      <c r="F193" s="9">
        <v>384505</v>
      </c>
      <c r="G193" s="9">
        <v>0</v>
      </c>
      <c r="H193" s="8">
        <f t="shared" ref="H193:H222" si="48">-F193+G193</f>
        <v>-384505</v>
      </c>
      <c r="I193" s="9">
        <v>391644</v>
      </c>
      <c r="J193" s="9">
        <v>0</v>
      </c>
      <c r="K193" s="8">
        <f t="shared" ref="K193:K222" si="49">-I193+J193</f>
        <v>-391644</v>
      </c>
      <c r="L193" s="9">
        <v>599443</v>
      </c>
      <c r="M193" s="9">
        <v>0</v>
      </c>
      <c r="N193" s="8">
        <f t="shared" ref="N193:N222" si="50">-L193+M193</f>
        <v>-599443</v>
      </c>
    </row>
    <row r="194" spans="1:14" ht="14.4" x14ac:dyDescent="0.3">
      <c r="A194" s="32">
        <f t="shared" si="24"/>
        <v>192</v>
      </c>
      <c r="B194" s="23" t="s">
        <v>143</v>
      </c>
      <c r="C194" s="8">
        <v>33000</v>
      </c>
      <c r="D194" s="8">
        <v>0</v>
      </c>
      <c r="E194" s="8">
        <f t="shared" si="47"/>
        <v>-33000</v>
      </c>
      <c r="F194" s="9">
        <v>30750</v>
      </c>
      <c r="G194" s="9">
        <v>0</v>
      </c>
      <c r="H194" s="8">
        <f t="shared" si="48"/>
        <v>-30750</v>
      </c>
      <c r="I194" s="9">
        <v>17250</v>
      </c>
      <c r="J194" s="9">
        <v>0</v>
      </c>
      <c r="K194" s="8">
        <f t="shared" si="49"/>
        <v>-17250</v>
      </c>
      <c r="L194" s="9">
        <v>22500</v>
      </c>
      <c r="M194" s="9">
        <v>0</v>
      </c>
      <c r="N194" s="8">
        <f t="shared" si="50"/>
        <v>-22500</v>
      </c>
    </row>
    <row r="195" spans="1:14" ht="14.4" x14ac:dyDescent="0.3">
      <c r="A195" s="32">
        <f t="shared" si="24"/>
        <v>193</v>
      </c>
      <c r="B195" s="23" t="s">
        <v>144</v>
      </c>
      <c r="C195" s="8">
        <v>110653.85</v>
      </c>
      <c r="D195" s="8">
        <v>0</v>
      </c>
      <c r="E195" s="8">
        <f t="shared" si="47"/>
        <v>-110653.85</v>
      </c>
      <c r="F195" s="9">
        <v>114760</v>
      </c>
      <c r="G195" s="9">
        <v>0</v>
      </c>
      <c r="H195" s="8">
        <f t="shared" si="48"/>
        <v>-114760</v>
      </c>
      <c r="I195" s="9">
        <v>0</v>
      </c>
      <c r="J195" s="9">
        <v>384459.27</v>
      </c>
      <c r="K195" s="8">
        <f t="shared" si="49"/>
        <v>384459.27</v>
      </c>
      <c r="L195" s="9">
        <v>115379.29</v>
      </c>
      <c r="M195" s="9">
        <v>0</v>
      </c>
      <c r="N195" s="8">
        <f t="shared" si="50"/>
        <v>-115379.29</v>
      </c>
    </row>
    <row r="196" spans="1:14" ht="14.4" x14ac:dyDescent="0.3">
      <c r="A196" s="32">
        <f t="shared" si="24"/>
        <v>194</v>
      </c>
      <c r="B196" s="23" t="s">
        <v>145</v>
      </c>
      <c r="C196" s="8">
        <v>0</v>
      </c>
      <c r="D196" s="8">
        <v>0</v>
      </c>
      <c r="E196" s="8">
        <f t="shared" si="47"/>
        <v>0</v>
      </c>
      <c r="F196" s="9">
        <v>0</v>
      </c>
      <c r="G196" s="9">
        <v>0</v>
      </c>
      <c r="H196" s="8">
        <f t="shared" si="48"/>
        <v>0</v>
      </c>
      <c r="I196" s="9">
        <v>0</v>
      </c>
      <c r="J196" s="9">
        <v>0</v>
      </c>
      <c r="K196" s="8">
        <f t="shared" si="49"/>
        <v>0</v>
      </c>
      <c r="L196" s="9">
        <v>0</v>
      </c>
      <c r="M196" s="9">
        <v>0</v>
      </c>
      <c r="N196" s="8">
        <f t="shared" si="50"/>
        <v>0</v>
      </c>
    </row>
    <row r="197" spans="1:14" ht="14.4" x14ac:dyDescent="0.3">
      <c r="A197" s="32">
        <f t="shared" ref="A197:A260" si="51">A196+1</f>
        <v>195</v>
      </c>
      <c r="B197" s="23" t="s">
        <v>146</v>
      </c>
      <c r="C197" s="8">
        <v>0</v>
      </c>
      <c r="D197" s="8">
        <v>0</v>
      </c>
      <c r="E197" s="8">
        <f t="shared" si="47"/>
        <v>0</v>
      </c>
      <c r="F197" s="9">
        <v>0</v>
      </c>
      <c r="G197" s="9">
        <v>0</v>
      </c>
      <c r="H197" s="8">
        <f t="shared" si="48"/>
        <v>0</v>
      </c>
      <c r="I197" s="9">
        <v>18576384</v>
      </c>
      <c r="J197" s="9">
        <v>0</v>
      </c>
      <c r="K197" s="8">
        <f t="shared" si="49"/>
        <v>-18576384</v>
      </c>
      <c r="L197" s="9">
        <v>0</v>
      </c>
      <c r="M197" s="9">
        <v>18576384</v>
      </c>
      <c r="N197" s="8">
        <f t="shared" si="50"/>
        <v>18576384</v>
      </c>
    </row>
    <row r="198" spans="1:14" ht="14.4" x14ac:dyDescent="0.3">
      <c r="A198" s="32">
        <f t="shared" si="51"/>
        <v>196</v>
      </c>
      <c r="B198" s="23" t="s">
        <v>147</v>
      </c>
      <c r="C198" s="8">
        <v>0</v>
      </c>
      <c r="D198" s="8">
        <v>0</v>
      </c>
      <c r="E198" s="8">
        <f t="shared" si="47"/>
        <v>0</v>
      </c>
      <c r="F198" s="9">
        <v>0</v>
      </c>
      <c r="G198" s="9">
        <v>0</v>
      </c>
      <c r="H198" s="8">
        <f t="shared" si="48"/>
        <v>0</v>
      </c>
      <c r="I198" s="9">
        <v>0</v>
      </c>
      <c r="J198" s="9">
        <v>0</v>
      </c>
      <c r="K198" s="8">
        <f t="shared" si="49"/>
        <v>0</v>
      </c>
      <c r="L198" s="9">
        <v>0</v>
      </c>
      <c r="M198" s="9">
        <v>0</v>
      </c>
      <c r="N198" s="8">
        <f t="shared" si="50"/>
        <v>0</v>
      </c>
    </row>
    <row r="199" spans="1:14" ht="14.4" x14ac:dyDescent="0.3">
      <c r="A199" s="32">
        <f t="shared" si="51"/>
        <v>197</v>
      </c>
      <c r="B199" s="23" t="s">
        <v>148</v>
      </c>
      <c r="C199" s="8">
        <v>0</v>
      </c>
      <c r="D199" s="8">
        <v>0</v>
      </c>
      <c r="E199" s="8">
        <f t="shared" si="47"/>
        <v>0</v>
      </c>
      <c r="F199" s="9">
        <v>0</v>
      </c>
      <c r="G199" s="9">
        <v>0</v>
      </c>
      <c r="H199" s="8">
        <f t="shared" si="48"/>
        <v>0</v>
      </c>
      <c r="I199" s="9">
        <v>0</v>
      </c>
      <c r="J199" s="9">
        <v>0</v>
      </c>
      <c r="K199" s="8">
        <f t="shared" si="49"/>
        <v>0</v>
      </c>
      <c r="L199" s="9">
        <v>0</v>
      </c>
      <c r="M199" s="9">
        <v>0</v>
      </c>
      <c r="N199" s="8">
        <f t="shared" si="50"/>
        <v>0</v>
      </c>
    </row>
    <row r="200" spans="1:14" ht="14.4" x14ac:dyDescent="0.3">
      <c r="A200" s="32">
        <f t="shared" si="51"/>
        <v>198</v>
      </c>
      <c r="B200" s="23" t="s">
        <v>149</v>
      </c>
      <c r="C200" s="8">
        <v>0</v>
      </c>
      <c r="D200" s="8">
        <v>0</v>
      </c>
      <c r="E200" s="8">
        <f t="shared" si="47"/>
        <v>0</v>
      </c>
      <c r="F200" s="9">
        <v>0</v>
      </c>
      <c r="G200" s="9">
        <v>0</v>
      </c>
      <c r="H200" s="8">
        <f t="shared" si="48"/>
        <v>0</v>
      </c>
      <c r="I200" s="9">
        <v>0</v>
      </c>
      <c r="J200" s="9">
        <v>0</v>
      </c>
      <c r="K200" s="8">
        <f t="shared" si="49"/>
        <v>0</v>
      </c>
      <c r="L200" s="9">
        <v>0</v>
      </c>
      <c r="M200" s="9">
        <v>0</v>
      </c>
      <c r="N200" s="8">
        <f t="shared" si="50"/>
        <v>0</v>
      </c>
    </row>
    <row r="201" spans="1:14" ht="14.4" x14ac:dyDescent="0.3">
      <c r="A201" s="32">
        <f t="shared" si="51"/>
        <v>199</v>
      </c>
      <c r="B201" s="23" t="s">
        <v>150</v>
      </c>
      <c r="C201" s="8">
        <v>42724</v>
      </c>
      <c r="D201" s="8">
        <v>0</v>
      </c>
      <c r="E201" s="8">
        <f t="shared" si="47"/>
        <v>-42724</v>
      </c>
      <c r="F201" s="9">
        <v>43734</v>
      </c>
      <c r="G201" s="9">
        <v>0</v>
      </c>
      <c r="H201" s="8">
        <f t="shared" si="48"/>
        <v>-43734</v>
      </c>
      <c r="I201" s="9">
        <v>45133</v>
      </c>
      <c r="J201" s="9">
        <v>0</v>
      </c>
      <c r="K201" s="8">
        <f t="shared" si="49"/>
        <v>-45133</v>
      </c>
      <c r="L201" s="9">
        <v>2438</v>
      </c>
      <c r="M201" s="9">
        <v>0</v>
      </c>
      <c r="N201" s="8">
        <f t="shared" si="50"/>
        <v>-2438</v>
      </c>
    </row>
    <row r="202" spans="1:14" ht="14.4" x14ac:dyDescent="0.3">
      <c r="A202" s="32">
        <f t="shared" si="51"/>
        <v>200</v>
      </c>
      <c r="B202" s="23" t="s">
        <v>151</v>
      </c>
      <c r="C202" s="8">
        <v>0</v>
      </c>
      <c r="D202" s="8">
        <v>0</v>
      </c>
      <c r="E202" s="8">
        <f t="shared" si="47"/>
        <v>0</v>
      </c>
      <c r="F202" s="9">
        <v>0</v>
      </c>
      <c r="G202" s="9">
        <v>0</v>
      </c>
      <c r="H202" s="8">
        <f t="shared" si="48"/>
        <v>0</v>
      </c>
      <c r="I202" s="9">
        <v>0</v>
      </c>
      <c r="J202" s="9">
        <v>0</v>
      </c>
      <c r="K202" s="8">
        <f t="shared" si="49"/>
        <v>0</v>
      </c>
      <c r="L202" s="9">
        <v>0</v>
      </c>
      <c r="M202" s="9">
        <v>0</v>
      </c>
      <c r="N202" s="8">
        <f t="shared" si="50"/>
        <v>0</v>
      </c>
    </row>
    <row r="203" spans="1:14" ht="14.4" x14ac:dyDescent="0.3">
      <c r="A203" s="32">
        <f t="shared" si="51"/>
        <v>201</v>
      </c>
      <c r="B203" s="23" t="s">
        <v>152</v>
      </c>
      <c r="C203" s="8">
        <v>0</v>
      </c>
      <c r="D203" s="8">
        <v>0</v>
      </c>
      <c r="E203" s="8">
        <f t="shared" si="47"/>
        <v>0</v>
      </c>
      <c r="F203" s="9">
        <v>0</v>
      </c>
      <c r="G203" s="9">
        <v>6104.96</v>
      </c>
      <c r="H203" s="8">
        <f t="shared" si="48"/>
        <v>6104.96</v>
      </c>
      <c r="I203" s="9">
        <v>892749.24</v>
      </c>
      <c r="J203" s="9">
        <v>0</v>
      </c>
      <c r="K203" s="8">
        <f t="shared" si="49"/>
        <v>-892749.24</v>
      </c>
      <c r="L203" s="9">
        <v>0</v>
      </c>
      <c r="M203" s="9">
        <v>0</v>
      </c>
      <c r="N203" s="8">
        <f t="shared" si="50"/>
        <v>0</v>
      </c>
    </row>
    <row r="204" spans="1:14" ht="14.4" x14ac:dyDescent="0.3">
      <c r="A204" s="32">
        <f t="shared" si="51"/>
        <v>202</v>
      </c>
      <c r="B204" s="23" t="s">
        <v>153</v>
      </c>
      <c r="C204" s="8">
        <v>0</v>
      </c>
      <c r="D204" s="8">
        <v>0</v>
      </c>
      <c r="E204" s="8">
        <f t="shared" si="47"/>
        <v>0</v>
      </c>
      <c r="F204" s="9">
        <v>0</v>
      </c>
      <c r="G204" s="9">
        <v>0</v>
      </c>
      <c r="H204" s="8">
        <f t="shared" si="48"/>
        <v>0</v>
      </c>
      <c r="I204" s="9">
        <v>0</v>
      </c>
      <c r="J204" s="9">
        <v>0</v>
      </c>
      <c r="K204" s="8">
        <f t="shared" si="49"/>
        <v>0</v>
      </c>
      <c r="L204" s="9">
        <v>0</v>
      </c>
      <c r="M204" s="9">
        <v>0</v>
      </c>
      <c r="N204" s="8">
        <f t="shared" si="50"/>
        <v>0</v>
      </c>
    </row>
    <row r="205" spans="1:14" ht="14.4" x14ac:dyDescent="0.3">
      <c r="A205" s="32">
        <f t="shared" si="51"/>
        <v>203</v>
      </c>
      <c r="B205" s="23" t="s">
        <v>154</v>
      </c>
      <c r="C205" s="8">
        <v>828716</v>
      </c>
      <c r="D205" s="8">
        <v>0</v>
      </c>
      <c r="E205" s="8">
        <f t="shared" si="47"/>
        <v>-828716</v>
      </c>
      <c r="F205" s="9">
        <v>851718.7</v>
      </c>
      <c r="G205" s="9">
        <v>0</v>
      </c>
      <c r="H205" s="8">
        <f t="shared" si="48"/>
        <v>-851718.7</v>
      </c>
      <c r="I205" s="9">
        <v>807969.31</v>
      </c>
      <c r="J205" s="9">
        <v>0</v>
      </c>
      <c r="K205" s="8">
        <f t="shared" si="49"/>
        <v>-807969.31</v>
      </c>
      <c r="L205" s="9">
        <v>133150.79999999999</v>
      </c>
      <c r="M205" s="9">
        <v>0</v>
      </c>
      <c r="N205" s="8">
        <f t="shared" si="50"/>
        <v>-133150.79999999999</v>
      </c>
    </row>
    <row r="206" spans="1:14" ht="14.4" x14ac:dyDescent="0.3">
      <c r="A206" s="32">
        <f t="shared" si="51"/>
        <v>204</v>
      </c>
      <c r="B206" s="23" t="s">
        <v>155</v>
      </c>
      <c r="C206" s="8">
        <v>10785.81</v>
      </c>
      <c r="D206" s="8">
        <v>0</v>
      </c>
      <c r="E206" s="8">
        <f t="shared" si="47"/>
        <v>-10785.81</v>
      </c>
      <c r="F206" s="9">
        <v>68680.88</v>
      </c>
      <c r="G206" s="9">
        <v>0</v>
      </c>
      <c r="H206" s="8">
        <f t="shared" si="48"/>
        <v>-68680.88</v>
      </c>
      <c r="I206" s="9">
        <v>1314</v>
      </c>
      <c r="J206" s="9">
        <v>0</v>
      </c>
      <c r="K206" s="8">
        <f t="shared" si="49"/>
        <v>-1314</v>
      </c>
      <c r="L206" s="9">
        <v>343</v>
      </c>
      <c r="M206" s="9">
        <v>0</v>
      </c>
      <c r="N206" s="8">
        <f t="shared" si="50"/>
        <v>-343</v>
      </c>
    </row>
    <row r="207" spans="1:14" ht="14.4" x14ac:dyDescent="0.3">
      <c r="A207" s="32">
        <f t="shared" si="51"/>
        <v>205</v>
      </c>
      <c r="B207" s="23" t="s">
        <v>156</v>
      </c>
      <c r="C207" s="8">
        <v>0</v>
      </c>
      <c r="D207" s="8">
        <v>0</v>
      </c>
      <c r="E207" s="8">
        <f t="shared" si="47"/>
        <v>0</v>
      </c>
      <c r="F207" s="9">
        <v>0</v>
      </c>
      <c r="G207" s="9">
        <v>0</v>
      </c>
      <c r="H207" s="8">
        <f t="shared" si="48"/>
        <v>0</v>
      </c>
      <c r="I207" s="9">
        <v>0</v>
      </c>
      <c r="J207" s="9">
        <v>0</v>
      </c>
      <c r="K207" s="8">
        <f t="shared" si="49"/>
        <v>0</v>
      </c>
      <c r="L207" s="9">
        <v>0</v>
      </c>
      <c r="M207" s="9">
        <v>0</v>
      </c>
      <c r="N207" s="8">
        <f t="shared" si="50"/>
        <v>0</v>
      </c>
    </row>
    <row r="208" spans="1:14" ht="14.4" x14ac:dyDescent="0.3">
      <c r="A208" s="32">
        <f t="shared" si="51"/>
        <v>206</v>
      </c>
      <c r="B208" s="23" t="s">
        <v>157</v>
      </c>
      <c r="C208" s="8">
        <v>3632.8</v>
      </c>
      <c r="D208" s="8">
        <v>0</v>
      </c>
      <c r="E208" s="8">
        <f t="shared" si="47"/>
        <v>-3632.8</v>
      </c>
      <c r="F208" s="9">
        <v>4371.2</v>
      </c>
      <c r="G208" s="9">
        <v>0</v>
      </c>
      <c r="H208" s="8">
        <f t="shared" si="48"/>
        <v>-4371.2</v>
      </c>
      <c r="I208" s="9">
        <v>3740.4</v>
      </c>
      <c r="J208" s="9">
        <v>0</v>
      </c>
      <c r="K208" s="8">
        <f t="shared" si="49"/>
        <v>-3740.4</v>
      </c>
      <c r="L208" s="9">
        <v>4865.2</v>
      </c>
      <c r="M208" s="9">
        <v>0</v>
      </c>
      <c r="N208" s="8">
        <f t="shared" si="50"/>
        <v>-4865.2</v>
      </c>
    </row>
    <row r="209" spans="1:14" ht="14.4" x14ac:dyDescent="0.3">
      <c r="A209" s="32">
        <f t="shared" si="51"/>
        <v>207</v>
      </c>
      <c r="B209" s="23" t="s">
        <v>158</v>
      </c>
      <c r="C209" s="8">
        <v>110324</v>
      </c>
      <c r="D209" s="8">
        <v>0</v>
      </c>
      <c r="E209" s="8">
        <f t="shared" si="47"/>
        <v>-110324</v>
      </c>
      <c r="F209" s="9">
        <v>134142</v>
      </c>
      <c r="G209" s="9">
        <v>0</v>
      </c>
      <c r="H209" s="8">
        <f t="shared" si="48"/>
        <v>-134142</v>
      </c>
      <c r="I209" s="9">
        <v>201116</v>
      </c>
      <c r="J209" s="9">
        <v>0</v>
      </c>
      <c r="K209" s="8">
        <f t="shared" si="49"/>
        <v>-201116</v>
      </c>
      <c r="L209" s="9">
        <v>205106</v>
      </c>
      <c r="M209" s="9">
        <v>0</v>
      </c>
      <c r="N209" s="8">
        <f t="shared" si="50"/>
        <v>-205106</v>
      </c>
    </row>
    <row r="210" spans="1:14" ht="14.4" x14ac:dyDescent="0.3">
      <c r="A210" s="32">
        <f t="shared" si="51"/>
        <v>208</v>
      </c>
      <c r="B210" s="23" t="s">
        <v>159</v>
      </c>
      <c r="C210" s="8">
        <v>0</v>
      </c>
      <c r="D210" s="8">
        <v>0</v>
      </c>
      <c r="E210" s="8">
        <f t="shared" si="47"/>
        <v>0</v>
      </c>
      <c r="F210" s="9">
        <v>0</v>
      </c>
      <c r="G210" s="9">
        <v>0</v>
      </c>
      <c r="H210" s="8">
        <f t="shared" si="48"/>
        <v>0</v>
      </c>
      <c r="I210" s="9">
        <v>0</v>
      </c>
      <c r="J210" s="9">
        <v>0</v>
      </c>
      <c r="K210" s="8">
        <f t="shared" si="49"/>
        <v>0</v>
      </c>
      <c r="L210" s="9">
        <v>0</v>
      </c>
      <c r="M210" s="9">
        <v>6238717</v>
      </c>
      <c r="N210" s="22">
        <f t="shared" si="50"/>
        <v>6238717</v>
      </c>
    </row>
    <row r="211" spans="1:14" ht="14.4" x14ac:dyDescent="0.3">
      <c r="A211" s="32">
        <f t="shared" si="51"/>
        <v>209</v>
      </c>
      <c r="B211" s="23" t="s">
        <v>160</v>
      </c>
      <c r="C211" s="8">
        <v>1000000</v>
      </c>
      <c r="D211" s="8">
        <v>0</v>
      </c>
      <c r="E211" s="8">
        <f t="shared" si="47"/>
        <v>-1000000</v>
      </c>
      <c r="F211" s="9">
        <v>0</v>
      </c>
      <c r="G211" s="9">
        <v>0</v>
      </c>
      <c r="H211" s="8">
        <f t="shared" si="48"/>
        <v>0</v>
      </c>
      <c r="I211" s="9">
        <v>0</v>
      </c>
      <c r="J211" s="9">
        <v>0</v>
      </c>
      <c r="K211" s="8">
        <f t="shared" si="49"/>
        <v>0</v>
      </c>
      <c r="L211" s="9">
        <v>0</v>
      </c>
      <c r="M211" s="9">
        <v>3500000</v>
      </c>
      <c r="N211" s="22">
        <f t="shared" si="50"/>
        <v>3500000</v>
      </c>
    </row>
    <row r="212" spans="1:14" ht="14.4" x14ac:dyDescent="0.3">
      <c r="A212" s="32">
        <f t="shared" si="51"/>
        <v>210</v>
      </c>
      <c r="B212" s="23" t="s">
        <v>161</v>
      </c>
      <c r="C212" s="8">
        <v>28673</v>
      </c>
      <c r="D212" s="8">
        <v>0</v>
      </c>
      <c r="E212" s="8">
        <f t="shared" si="47"/>
        <v>-28673</v>
      </c>
      <c r="F212" s="9">
        <v>28204</v>
      </c>
      <c r="G212" s="9">
        <v>0</v>
      </c>
      <c r="H212" s="8">
        <f t="shared" si="48"/>
        <v>-28204</v>
      </c>
      <c r="I212" s="9">
        <v>32692</v>
      </c>
      <c r="J212" s="9">
        <v>0</v>
      </c>
      <c r="K212" s="8">
        <f t="shared" si="49"/>
        <v>-32692</v>
      </c>
      <c r="L212" s="9">
        <v>0</v>
      </c>
      <c r="M212" s="9">
        <v>0</v>
      </c>
      <c r="N212" s="8">
        <f t="shared" si="50"/>
        <v>0</v>
      </c>
    </row>
    <row r="213" spans="1:14" ht="14.4" x14ac:dyDescent="0.3">
      <c r="A213" s="32">
        <f t="shared" si="51"/>
        <v>211</v>
      </c>
      <c r="B213" s="23" t="s">
        <v>162</v>
      </c>
      <c r="C213" s="8">
        <v>31020</v>
      </c>
      <c r="D213" s="8">
        <v>0</v>
      </c>
      <c r="E213" s="8">
        <f t="shared" si="47"/>
        <v>-31020</v>
      </c>
      <c r="F213" s="9">
        <v>33276</v>
      </c>
      <c r="G213" s="9">
        <v>0</v>
      </c>
      <c r="H213" s="8">
        <f t="shared" si="48"/>
        <v>-33276</v>
      </c>
      <c r="I213" s="9">
        <v>31725</v>
      </c>
      <c r="J213" s="9">
        <v>0</v>
      </c>
      <c r="K213" s="8">
        <f t="shared" si="49"/>
        <v>-31725</v>
      </c>
      <c r="L213" s="9">
        <v>0</v>
      </c>
      <c r="M213" s="9">
        <v>0</v>
      </c>
      <c r="N213" s="8">
        <f t="shared" si="50"/>
        <v>0</v>
      </c>
    </row>
    <row r="214" spans="1:14" ht="14.4" x14ac:dyDescent="0.3">
      <c r="A214" s="32">
        <f t="shared" si="51"/>
        <v>212</v>
      </c>
      <c r="B214" s="23" t="s">
        <v>163</v>
      </c>
      <c r="C214" s="8">
        <v>5449823</v>
      </c>
      <c r="D214" s="8">
        <v>0</v>
      </c>
      <c r="E214" s="8">
        <f t="shared" si="47"/>
        <v>-5449823</v>
      </c>
      <c r="F214" s="9">
        <v>4999098</v>
      </c>
      <c r="G214" s="9">
        <v>0</v>
      </c>
      <c r="H214" s="8">
        <f t="shared" si="48"/>
        <v>-4999098</v>
      </c>
      <c r="I214" s="9">
        <v>8368766</v>
      </c>
      <c r="J214" s="9">
        <v>0</v>
      </c>
      <c r="K214" s="8">
        <f t="shared" si="49"/>
        <v>-8368766</v>
      </c>
      <c r="L214" s="9">
        <v>5527156.4400000004</v>
      </c>
      <c r="M214" s="9">
        <v>0</v>
      </c>
      <c r="N214" s="8">
        <f t="shared" si="50"/>
        <v>-5527156.4400000004</v>
      </c>
    </row>
    <row r="215" spans="1:14" ht="14.4" x14ac:dyDescent="0.3">
      <c r="A215" s="32">
        <f t="shared" si="51"/>
        <v>213</v>
      </c>
      <c r="B215" s="23" t="s">
        <v>164</v>
      </c>
      <c r="C215" s="8">
        <v>0</v>
      </c>
      <c r="D215" s="8">
        <v>0</v>
      </c>
      <c r="E215" s="8">
        <f t="shared" si="47"/>
        <v>0</v>
      </c>
      <c r="F215" s="9">
        <v>0</v>
      </c>
      <c r="G215" s="9">
        <v>0</v>
      </c>
      <c r="H215" s="8">
        <f t="shared" si="48"/>
        <v>0</v>
      </c>
      <c r="I215" s="9">
        <v>0</v>
      </c>
      <c r="J215" s="9">
        <v>0</v>
      </c>
      <c r="K215" s="8">
        <f t="shared" si="49"/>
        <v>0</v>
      </c>
      <c r="L215" s="9">
        <v>0</v>
      </c>
      <c r="M215" s="9">
        <v>0</v>
      </c>
      <c r="N215" s="8">
        <f t="shared" si="50"/>
        <v>0</v>
      </c>
    </row>
    <row r="216" spans="1:14" ht="14.4" x14ac:dyDescent="0.3">
      <c r="A216" s="32">
        <f t="shared" si="51"/>
        <v>214</v>
      </c>
      <c r="B216" s="23" t="s">
        <v>165</v>
      </c>
      <c r="C216" s="8">
        <v>309617</v>
      </c>
      <c r="D216" s="8">
        <v>0</v>
      </c>
      <c r="E216" s="8">
        <f t="shared" si="47"/>
        <v>-309617</v>
      </c>
      <c r="F216" s="9">
        <v>689993</v>
      </c>
      <c r="G216" s="9">
        <v>0</v>
      </c>
      <c r="H216" s="8">
        <f t="shared" si="48"/>
        <v>-689993</v>
      </c>
      <c r="I216" s="9">
        <v>418071</v>
      </c>
      <c r="J216" s="9">
        <v>0</v>
      </c>
      <c r="K216" s="8">
        <f t="shared" si="49"/>
        <v>-418071</v>
      </c>
      <c r="L216" s="9">
        <v>854571</v>
      </c>
      <c r="M216" s="9">
        <v>0</v>
      </c>
      <c r="N216" s="8">
        <f t="shared" si="50"/>
        <v>-854571</v>
      </c>
    </row>
    <row r="217" spans="1:14" ht="14.4" x14ac:dyDescent="0.3">
      <c r="A217" s="32">
        <f t="shared" si="51"/>
        <v>215</v>
      </c>
      <c r="B217" s="23" t="s">
        <v>166</v>
      </c>
      <c r="C217" s="8">
        <v>583525</v>
      </c>
      <c r="D217" s="8">
        <v>0</v>
      </c>
      <c r="E217" s="8">
        <f t="shared" si="47"/>
        <v>-583525</v>
      </c>
      <c r="F217" s="9">
        <v>306489</v>
      </c>
      <c r="G217" s="9">
        <v>0</v>
      </c>
      <c r="H217" s="8">
        <f t="shared" si="48"/>
        <v>-306489</v>
      </c>
      <c r="I217" s="9">
        <v>619548</v>
      </c>
      <c r="J217" s="9">
        <v>0</v>
      </c>
      <c r="K217" s="8">
        <f t="shared" si="49"/>
        <v>-619548</v>
      </c>
      <c r="L217" s="9">
        <v>30000</v>
      </c>
      <c r="M217" s="9">
        <v>0</v>
      </c>
      <c r="N217" s="8">
        <f t="shared" si="50"/>
        <v>-30000</v>
      </c>
    </row>
    <row r="218" spans="1:14" ht="14.4" x14ac:dyDescent="0.3">
      <c r="A218" s="32">
        <f t="shared" si="51"/>
        <v>216</v>
      </c>
      <c r="B218" s="23" t="s">
        <v>167</v>
      </c>
      <c r="C218" s="8">
        <v>0</v>
      </c>
      <c r="D218" s="8">
        <v>0</v>
      </c>
      <c r="E218" s="8">
        <f t="shared" si="47"/>
        <v>0</v>
      </c>
      <c r="F218" s="9">
        <v>0</v>
      </c>
      <c r="G218" s="9">
        <v>0</v>
      </c>
      <c r="H218" s="8">
        <f t="shared" si="48"/>
        <v>0</v>
      </c>
      <c r="I218" s="9">
        <v>0</v>
      </c>
      <c r="J218" s="9">
        <v>0</v>
      </c>
      <c r="K218" s="8">
        <f t="shared" si="49"/>
        <v>0</v>
      </c>
      <c r="L218" s="9">
        <v>0</v>
      </c>
      <c r="M218" s="9">
        <v>0</v>
      </c>
      <c r="N218" s="8">
        <f t="shared" si="50"/>
        <v>0</v>
      </c>
    </row>
    <row r="219" spans="1:14" ht="14.4" x14ac:dyDescent="0.3">
      <c r="A219" s="32">
        <f t="shared" si="51"/>
        <v>217</v>
      </c>
      <c r="B219" s="23" t="s">
        <v>168</v>
      </c>
      <c r="C219" s="8">
        <v>7720074.4100000001</v>
      </c>
      <c r="D219" s="8">
        <v>0</v>
      </c>
      <c r="E219" s="8">
        <f t="shared" si="47"/>
        <v>-7720074.4100000001</v>
      </c>
      <c r="F219" s="9">
        <v>8890029.2599999998</v>
      </c>
      <c r="G219" s="9">
        <v>0</v>
      </c>
      <c r="H219" s="8">
        <f t="shared" si="48"/>
        <v>-8890029.2599999998</v>
      </c>
      <c r="I219" s="9">
        <v>10327032.970000001</v>
      </c>
      <c r="J219" s="9">
        <v>0</v>
      </c>
      <c r="K219" s="8">
        <f t="shared" si="49"/>
        <v>-10327032.970000001</v>
      </c>
      <c r="L219" s="9">
        <v>0</v>
      </c>
      <c r="M219" s="9">
        <v>0</v>
      </c>
      <c r="N219" s="8">
        <f t="shared" si="50"/>
        <v>0</v>
      </c>
    </row>
    <row r="220" spans="1:14" ht="14.4" x14ac:dyDescent="0.3">
      <c r="A220" s="32">
        <f t="shared" si="51"/>
        <v>218</v>
      </c>
      <c r="B220" s="23" t="s">
        <v>169</v>
      </c>
      <c r="C220" s="8">
        <v>0</v>
      </c>
      <c r="D220" s="8">
        <v>283391.21000000002</v>
      </c>
      <c r="E220" s="8">
        <f t="shared" si="47"/>
        <v>283391.21000000002</v>
      </c>
      <c r="F220" s="9">
        <v>0</v>
      </c>
      <c r="G220" s="9">
        <v>113198</v>
      </c>
      <c r="H220" s="8">
        <f t="shared" si="48"/>
        <v>113198</v>
      </c>
      <c r="I220" s="9">
        <v>0</v>
      </c>
      <c r="J220" s="9">
        <v>144131.20000000001</v>
      </c>
      <c r="K220" s="8">
        <f t="shared" si="49"/>
        <v>144131.20000000001</v>
      </c>
      <c r="L220" s="9">
        <v>0</v>
      </c>
      <c r="M220" s="9">
        <v>55429</v>
      </c>
      <c r="N220" s="8">
        <f t="shared" si="50"/>
        <v>55429</v>
      </c>
    </row>
    <row r="221" spans="1:14" ht="14.4" x14ac:dyDescent="0.3">
      <c r="A221" s="32">
        <f t="shared" si="51"/>
        <v>219</v>
      </c>
      <c r="B221" s="23" t="s">
        <v>170</v>
      </c>
      <c r="C221" s="8">
        <v>0</v>
      </c>
      <c r="D221" s="8">
        <v>400000</v>
      </c>
      <c r="E221" s="8">
        <f t="shared" si="47"/>
        <v>400000</v>
      </c>
      <c r="F221" s="9">
        <v>25000</v>
      </c>
      <c r="G221" s="9">
        <v>0</v>
      </c>
      <c r="H221" s="8">
        <f t="shared" si="48"/>
        <v>-25000</v>
      </c>
      <c r="I221" s="9">
        <v>0</v>
      </c>
      <c r="J221" s="9">
        <v>0</v>
      </c>
      <c r="K221" s="8">
        <f t="shared" si="49"/>
        <v>0</v>
      </c>
      <c r="L221" s="9">
        <v>7075057.2999999998</v>
      </c>
      <c r="M221" s="9">
        <v>0</v>
      </c>
      <c r="N221" s="8">
        <f t="shared" si="50"/>
        <v>-7075057.2999999998</v>
      </c>
    </row>
    <row r="222" spans="1:14" ht="14.4" x14ac:dyDescent="0.3">
      <c r="A222" s="32">
        <f t="shared" si="51"/>
        <v>220</v>
      </c>
      <c r="B222" s="23" t="s">
        <v>171</v>
      </c>
      <c r="C222" s="8">
        <v>0</v>
      </c>
      <c r="D222" s="8">
        <v>0</v>
      </c>
      <c r="E222" s="8">
        <f t="shared" si="47"/>
        <v>0</v>
      </c>
      <c r="F222" s="9">
        <v>0</v>
      </c>
      <c r="G222" s="9">
        <v>0</v>
      </c>
      <c r="H222" s="8">
        <f t="shared" si="48"/>
        <v>0</v>
      </c>
      <c r="I222" s="9">
        <v>0</v>
      </c>
      <c r="J222" s="9">
        <v>0</v>
      </c>
      <c r="K222" s="8">
        <f t="shared" si="49"/>
        <v>0</v>
      </c>
      <c r="L222" s="9">
        <v>0</v>
      </c>
      <c r="M222" s="9">
        <v>0</v>
      </c>
      <c r="N222" s="8">
        <f t="shared" si="50"/>
        <v>0</v>
      </c>
    </row>
    <row r="223" spans="1:14" ht="14.4" x14ac:dyDescent="0.3">
      <c r="A223" s="32">
        <f t="shared" si="51"/>
        <v>221</v>
      </c>
      <c r="B223" s="25" t="s">
        <v>172</v>
      </c>
      <c r="C223" s="14">
        <f t="shared" ref="C223:D223" si="52">SUM(C193:C222)</f>
        <v>16557391.870000001</v>
      </c>
      <c r="D223" s="14">
        <f t="shared" si="52"/>
        <v>683391.21</v>
      </c>
      <c r="E223" s="14">
        <f>SUM(E193:E222)</f>
        <v>-15874000.66</v>
      </c>
      <c r="F223" s="14">
        <f t="shared" ref="F223" si="53">SUM(F193:F222)</f>
        <v>16604751.039999999</v>
      </c>
      <c r="G223" s="14">
        <f t="shared" ref="G223:H223" si="54">SUM(G193:G222)</f>
        <v>119302.96</v>
      </c>
      <c r="H223" s="14">
        <f t="shared" si="54"/>
        <v>-16485448.08</v>
      </c>
      <c r="I223" s="14">
        <f t="shared" ref="I223" si="55">SUM(I193:I222)</f>
        <v>40735134.919999994</v>
      </c>
      <c r="J223" s="14">
        <f t="shared" ref="J223:K223" si="56">SUM(J193:J222)</f>
        <v>528590.47</v>
      </c>
      <c r="K223" s="14">
        <f t="shared" si="56"/>
        <v>-40206544.449999996</v>
      </c>
      <c r="L223" s="14">
        <f t="shared" ref="L223" si="57">SUM(L193:L222)</f>
        <v>14570010.030000001</v>
      </c>
      <c r="M223" s="14">
        <f t="shared" ref="M223:N223" si="58">SUM(M193:M222)</f>
        <v>28370530</v>
      </c>
      <c r="N223" s="14">
        <f t="shared" si="58"/>
        <v>13800519.969999999</v>
      </c>
    </row>
    <row r="224" spans="1:14" ht="14.4" x14ac:dyDescent="0.3">
      <c r="A224" s="32">
        <f t="shared" si="51"/>
        <v>222</v>
      </c>
      <c r="B224" s="23"/>
      <c r="C224" s="8"/>
      <c r="D224" s="8"/>
      <c r="E224" s="8"/>
      <c r="F224" s="9"/>
      <c r="G224" s="9"/>
      <c r="H224" s="9"/>
      <c r="I224" s="9"/>
      <c r="J224" s="9"/>
      <c r="K224" s="9"/>
      <c r="L224" s="9"/>
      <c r="M224" s="9"/>
      <c r="N224" s="9"/>
    </row>
    <row r="225" spans="1:14" ht="14.4" x14ac:dyDescent="0.3">
      <c r="A225" s="32">
        <f t="shared" si="51"/>
        <v>223</v>
      </c>
      <c r="B225" s="23" t="s">
        <v>173</v>
      </c>
      <c r="C225" s="8">
        <v>0</v>
      </c>
      <c r="D225" s="8">
        <v>0</v>
      </c>
      <c r="E225" s="8">
        <f t="shared" ref="E225:E288" si="59">-C225+D225</f>
        <v>0</v>
      </c>
      <c r="F225" s="9">
        <v>0</v>
      </c>
      <c r="G225" s="9">
        <v>0</v>
      </c>
      <c r="H225" s="8">
        <f t="shared" ref="H225:H288" si="60">-F225+G225</f>
        <v>0</v>
      </c>
      <c r="I225" s="9">
        <v>0</v>
      </c>
      <c r="J225" s="9">
        <v>0</v>
      </c>
      <c r="K225" s="8">
        <f t="shared" ref="K225:K288" si="61">-I225+J225</f>
        <v>0</v>
      </c>
      <c r="L225" s="9">
        <v>0</v>
      </c>
      <c r="M225" s="9">
        <v>0</v>
      </c>
      <c r="N225" s="8">
        <f t="shared" ref="N225:N288" si="62">-L225+M225</f>
        <v>0</v>
      </c>
    </row>
    <row r="226" spans="1:14" ht="14.4" x14ac:dyDescent="0.3">
      <c r="A226" s="32">
        <f t="shared" si="51"/>
        <v>224</v>
      </c>
      <c r="B226" s="23" t="s">
        <v>174</v>
      </c>
      <c r="C226" s="8">
        <v>0</v>
      </c>
      <c r="D226" s="8">
        <v>0</v>
      </c>
      <c r="E226" s="8">
        <f t="shared" si="59"/>
        <v>0</v>
      </c>
      <c r="F226" s="9">
        <v>0</v>
      </c>
      <c r="G226" s="9">
        <v>0</v>
      </c>
      <c r="H226" s="8">
        <f t="shared" si="60"/>
        <v>0</v>
      </c>
      <c r="I226" s="9">
        <v>0</v>
      </c>
      <c r="J226" s="9">
        <v>0</v>
      </c>
      <c r="K226" s="8">
        <f t="shared" si="61"/>
        <v>0</v>
      </c>
      <c r="L226" s="9">
        <v>0</v>
      </c>
      <c r="M226" s="9">
        <v>0</v>
      </c>
      <c r="N226" s="8">
        <f t="shared" si="62"/>
        <v>0</v>
      </c>
    </row>
    <row r="227" spans="1:14" ht="14.4" x14ac:dyDescent="0.3">
      <c r="A227" s="32">
        <f t="shared" si="51"/>
        <v>225</v>
      </c>
      <c r="B227" s="23" t="s">
        <v>175</v>
      </c>
      <c r="C227" s="8">
        <v>0</v>
      </c>
      <c r="D227" s="8">
        <v>0</v>
      </c>
      <c r="E227" s="8">
        <f t="shared" si="59"/>
        <v>0</v>
      </c>
      <c r="F227" s="9">
        <v>0</v>
      </c>
      <c r="G227" s="9">
        <v>0</v>
      </c>
      <c r="H227" s="8">
        <f t="shared" si="60"/>
        <v>0</v>
      </c>
      <c r="I227" s="9">
        <v>0</v>
      </c>
      <c r="J227" s="9">
        <v>0</v>
      </c>
      <c r="K227" s="8">
        <f t="shared" si="61"/>
        <v>0</v>
      </c>
      <c r="L227" s="9">
        <v>0</v>
      </c>
      <c r="M227" s="9">
        <v>0</v>
      </c>
      <c r="N227" s="8">
        <f t="shared" si="62"/>
        <v>0</v>
      </c>
    </row>
    <row r="228" spans="1:14" ht="14.4" x14ac:dyDescent="0.3">
      <c r="A228" s="32">
        <f t="shared" si="51"/>
        <v>226</v>
      </c>
      <c r="B228" s="23" t="s">
        <v>176</v>
      </c>
      <c r="C228" s="8">
        <v>49000</v>
      </c>
      <c r="D228" s="8">
        <v>0</v>
      </c>
      <c r="E228" s="8">
        <f t="shared" si="59"/>
        <v>-49000</v>
      </c>
      <c r="F228" s="9">
        <v>0</v>
      </c>
      <c r="G228" s="9">
        <v>0</v>
      </c>
      <c r="H228" s="8">
        <f t="shared" si="60"/>
        <v>0</v>
      </c>
      <c r="I228" s="9">
        <v>0</v>
      </c>
      <c r="J228" s="9">
        <v>0</v>
      </c>
      <c r="K228" s="8">
        <f t="shared" si="61"/>
        <v>0</v>
      </c>
      <c r="L228" s="9">
        <v>0</v>
      </c>
      <c r="M228" s="9">
        <v>0</v>
      </c>
      <c r="N228" s="8">
        <f t="shared" si="62"/>
        <v>0</v>
      </c>
    </row>
    <row r="229" spans="1:14" ht="14.4" x14ac:dyDescent="0.3">
      <c r="A229" s="32">
        <f t="shared" si="51"/>
        <v>227</v>
      </c>
      <c r="B229" s="23" t="s">
        <v>177</v>
      </c>
      <c r="C229" s="8">
        <v>0</v>
      </c>
      <c r="D229" s="8">
        <v>0</v>
      </c>
      <c r="E229" s="8">
        <f t="shared" si="59"/>
        <v>0</v>
      </c>
      <c r="F229" s="9">
        <v>0</v>
      </c>
      <c r="G229" s="9">
        <v>0</v>
      </c>
      <c r="H229" s="8">
        <f t="shared" si="60"/>
        <v>0</v>
      </c>
      <c r="I229" s="9">
        <v>12166.65</v>
      </c>
      <c r="J229" s="9">
        <v>0</v>
      </c>
      <c r="K229" s="8">
        <f t="shared" si="61"/>
        <v>-12166.65</v>
      </c>
      <c r="L229" s="9">
        <v>0</v>
      </c>
      <c r="M229" s="9">
        <v>0</v>
      </c>
      <c r="N229" s="8">
        <f t="shared" si="62"/>
        <v>0</v>
      </c>
    </row>
    <row r="230" spans="1:14" ht="14.4" x14ac:dyDescent="0.3">
      <c r="A230" s="32">
        <f t="shared" si="51"/>
        <v>228</v>
      </c>
      <c r="B230" s="23" t="s">
        <v>178</v>
      </c>
      <c r="C230" s="8">
        <v>0</v>
      </c>
      <c r="D230" s="8">
        <v>0</v>
      </c>
      <c r="E230" s="8">
        <f t="shared" si="59"/>
        <v>0</v>
      </c>
      <c r="F230" s="9">
        <v>12000</v>
      </c>
      <c r="G230" s="9">
        <v>0</v>
      </c>
      <c r="H230" s="8">
        <f t="shared" si="60"/>
        <v>-12000</v>
      </c>
      <c r="I230" s="9">
        <v>630974</v>
      </c>
      <c r="J230" s="9">
        <v>0</v>
      </c>
      <c r="K230" s="8">
        <f t="shared" si="61"/>
        <v>-630974</v>
      </c>
      <c r="L230" s="9">
        <v>0</v>
      </c>
      <c r="M230" s="9">
        <v>0</v>
      </c>
      <c r="N230" s="8">
        <f t="shared" si="62"/>
        <v>0</v>
      </c>
    </row>
    <row r="231" spans="1:14" ht="14.4" x14ac:dyDescent="0.3">
      <c r="A231" s="32">
        <f t="shared" si="51"/>
        <v>229</v>
      </c>
      <c r="B231" s="23" t="s">
        <v>179</v>
      </c>
      <c r="C231" s="8">
        <v>0</v>
      </c>
      <c r="D231" s="8">
        <v>5260.23</v>
      </c>
      <c r="E231" s="8">
        <f t="shared" si="59"/>
        <v>5260.23</v>
      </c>
      <c r="F231" s="9">
        <v>0</v>
      </c>
      <c r="G231" s="9">
        <v>0</v>
      </c>
      <c r="H231" s="8">
        <f t="shared" si="60"/>
        <v>0</v>
      </c>
      <c r="I231" s="9">
        <v>0</v>
      </c>
      <c r="J231" s="9">
        <v>0</v>
      </c>
      <c r="K231" s="8">
        <f t="shared" si="61"/>
        <v>0</v>
      </c>
      <c r="L231" s="9">
        <v>0</v>
      </c>
      <c r="M231" s="9">
        <v>0</v>
      </c>
      <c r="N231" s="8">
        <f t="shared" si="62"/>
        <v>0</v>
      </c>
    </row>
    <row r="232" spans="1:14" ht="14.4" x14ac:dyDescent="0.3">
      <c r="A232" s="32">
        <f t="shared" si="51"/>
        <v>230</v>
      </c>
      <c r="B232" s="23" t="s">
        <v>180</v>
      </c>
      <c r="C232" s="8">
        <v>0</v>
      </c>
      <c r="D232" s="8">
        <v>0</v>
      </c>
      <c r="E232" s="8">
        <f t="shared" si="59"/>
        <v>0</v>
      </c>
      <c r="F232" s="9">
        <v>147</v>
      </c>
      <c r="G232" s="9">
        <v>0</v>
      </c>
      <c r="H232" s="8">
        <f t="shared" si="60"/>
        <v>-147</v>
      </c>
      <c r="I232" s="9">
        <v>0</v>
      </c>
      <c r="J232" s="9">
        <v>0</v>
      </c>
      <c r="K232" s="8">
        <f t="shared" si="61"/>
        <v>0</v>
      </c>
      <c r="L232" s="9">
        <v>0</v>
      </c>
      <c r="M232" s="9">
        <v>0</v>
      </c>
      <c r="N232" s="8">
        <f t="shared" si="62"/>
        <v>0</v>
      </c>
    </row>
    <row r="233" spans="1:14" ht="14.4" x14ac:dyDescent="0.3">
      <c r="A233" s="32">
        <f t="shared" si="51"/>
        <v>231</v>
      </c>
      <c r="B233" s="23" t="s">
        <v>181</v>
      </c>
      <c r="C233" s="8">
        <v>0</v>
      </c>
      <c r="D233" s="8">
        <v>0</v>
      </c>
      <c r="E233" s="8">
        <f t="shared" si="59"/>
        <v>0</v>
      </c>
      <c r="F233" s="9">
        <v>20.69</v>
      </c>
      <c r="G233" s="9">
        <v>0</v>
      </c>
      <c r="H233" s="8">
        <f t="shared" si="60"/>
        <v>-20.69</v>
      </c>
      <c r="I233" s="9">
        <v>0</v>
      </c>
      <c r="J233" s="9">
        <v>0</v>
      </c>
      <c r="K233" s="8">
        <f t="shared" si="61"/>
        <v>0</v>
      </c>
      <c r="L233" s="9">
        <v>0</v>
      </c>
      <c r="M233" s="9">
        <v>0</v>
      </c>
      <c r="N233" s="8">
        <f t="shared" si="62"/>
        <v>0</v>
      </c>
    </row>
    <row r="234" spans="1:14" ht="14.4" x14ac:dyDescent="0.3">
      <c r="A234" s="32">
        <f t="shared" si="51"/>
        <v>232</v>
      </c>
      <c r="B234" s="23" t="s">
        <v>182</v>
      </c>
      <c r="C234" s="8">
        <v>0</v>
      </c>
      <c r="D234" s="8">
        <v>0</v>
      </c>
      <c r="E234" s="8">
        <f t="shared" si="59"/>
        <v>0</v>
      </c>
      <c r="F234" s="9">
        <v>0</v>
      </c>
      <c r="G234" s="9">
        <v>0</v>
      </c>
      <c r="H234" s="8">
        <f t="shared" si="60"/>
        <v>0</v>
      </c>
      <c r="I234" s="9">
        <v>799204</v>
      </c>
      <c r="J234" s="9">
        <v>0</v>
      </c>
      <c r="K234" s="8">
        <f t="shared" si="61"/>
        <v>-799204</v>
      </c>
      <c r="L234" s="9">
        <v>0</v>
      </c>
      <c r="M234" s="9">
        <v>0</v>
      </c>
      <c r="N234" s="8">
        <f t="shared" si="62"/>
        <v>0</v>
      </c>
    </row>
    <row r="235" spans="1:14" ht="14.4" x14ac:dyDescent="0.3">
      <c r="A235" s="32">
        <f t="shared" si="51"/>
        <v>233</v>
      </c>
      <c r="B235" s="23" t="s">
        <v>183</v>
      </c>
      <c r="C235" s="8">
        <v>0</v>
      </c>
      <c r="D235" s="8">
        <v>0</v>
      </c>
      <c r="E235" s="8">
        <f t="shared" si="59"/>
        <v>0</v>
      </c>
      <c r="F235" s="9">
        <v>0</v>
      </c>
      <c r="G235" s="9">
        <v>0</v>
      </c>
      <c r="H235" s="8">
        <f t="shared" si="60"/>
        <v>0</v>
      </c>
      <c r="I235" s="9">
        <v>0</v>
      </c>
      <c r="J235" s="9">
        <v>0</v>
      </c>
      <c r="K235" s="8">
        <f t="shared" si="61"/>
        <v>0</v>
      </c>
      <c r="L235" s="9">
        <v>0</v>
      </c>
      <c r="M235" s="9">
        <v>0</v>
      </c>
      <c r="N235" s="8">
        <f t="shared" si="62"/>
        <v>0</v>
      </c>
    </row>
    <row r="236" spans="1:14" ht="14.4" x14ac:dyDescent="0.3">
      <c r="A236" s="32">
        <f t="shared" si="51"/>
        <v>234</v>
      </c>
      <c r="B236" s="23" t="s">
        <v>184</v>
      </c>
      <c r="C236" s="8">
        <v>0</v>
      </c>
      <c r="D236" s="8">
        <v>0</v>
      </c>
      <c r="E236" s="8">
        <f t="shared" si="59"/>
        <v>0</v>
      </c>
      <c r="F236" s="9">
        <v>0</v>
      </c>
      <c r="G236" s="9">
        <v>0</v>
      </c>
      <c r="H236" s="8">
        <f t="shared" si="60"/>
        <v>0</v>
      </c>
      <c r="I236" s="9">
        <v>0</v>
      </c>
      <c r="J236" s="9">
        <v>0</v>
      </c>
      <c r="K236" s="8">
        <f t="shared" si="61"/>
        <v>0</v>
      </c>
      <c r="L236" s="9">
        <v>0</v>
      </c>
      <c r="M236" s="9">
        <v>0</v>
      </c>
      <c r="N236" s="8">
        <f t="shared" si="62"/>
        <v>0</v>
      </c>
    </row>
    <row r="237" spans="1:14" ht="14.4" x14ac:dyDescent="0.3">
      <c r="A237" s="32">
        <f t="shared" si="51"/>
        <v>235</v>
      </c>
      <c r="B237" s="23" t="s">
        <v>185</v>
      </c>
      <c r="C237" s="8">
        <v>0</v>
      </c>
      <c r="D237" s="8">
        <v>0</v>
      </c>
      <c r="E237" s="8">
        <f t="shared" si="59"/>
        <v>0</v>
      </c>
      <c r="F237" s="9">
        <v>0</v>
      </c>
      <c r="G237" s="9">
        <v>0</v>
      </c>
      <c r="H237" s="8">
        <f t="shared" si="60"/>
        <v>0</v>
      </c>
      <c r="I237" s="9">
        <v>0</v>
      </c>
      <c r="J237" s="9">
        <v>0</v>
      </c>
      <c r="K237" s="8">
        <f t="shared" si="61"/>
        <v>0</v>
      </c>
      <c r="L237" s="9">
        <v>0</v>
      </c>
      <c r="M237" s="9">
        <v>0</v>
      </c>
      <c r="N237" s="8">
        <f t="shared" si="62"/>
        <v>0</v>
      </c>
    </row>
    <row r="238" spans="1:14" ht="14.4" x14ac:dyDescent="0.3">
      <c r="A238" s="32">
        <f t="shared" si="51"/>
        <v>236</v>
      </c>
      <c r="B238" s="23" t="s">
        <v>186</v>
      </c>
      <c r="C238" s="8">
        <v>0</v>
      </c>
      <c r="D238" s="8">
        <v>0</v>
      </c>
      <c r="E238" s="8">
        <f t="shared" si="59"/>
        <v>0</v>
      </c>
      <c r="F238" s="9">
        <v>0</v>
      </c>
      <c r="G238" s="9">
        <v>0</v>
      </c>
      <c r="H238" s="8">
        <f t="shared" si="60"/>
        <v>0</v>
      </c>
      <c r="I238" s="9">
        <v>0</v>
      </c>
      <c r="J238" s="9">
        <v>0</v>
      </c>
      <c r="K238" s="8">
        <f t="shared" si="61"/>
        <v>0</v>
      </c>
      <c r="L238" s="9">
        <v>0</v>
      </c>
      <c r="M238" s="9">
        <v>0</v>
      </c>
      <c r="N238" s="8">
        <f t="shared" si="62"/>
        <v>0</v>
      </c>
    </row>
    <row r="239" spans="1:14" ht="14.4" x14ac:dyDescent="0.3">
      <c r="A239" s="32">
        <f t="shared" si="51"/>
        <v>237</v>
      </c>
      <c r="B239" s="23" t="s">
        <v>187</v>
      </c>
      <c r="C239" s="8">
        <v>0</v>
      </c>
      <c r="D239" s="8">
        <v>0</v>
      </c>
      <c r="E239" s="8">
        <f t="shared" si="59"/>
        <v>0</v>
      </c>
      <c r="F239" s="9">
        <v>0</v>
      </c>
      <c r="G239" s="9">
        <v>0</v>
      </c>
      <c r="H239" s="8">
        <f t="shared" si="60"/>
        <v>0</v>
      </c>
      <c r="I239" s="9">
        <v>0</v>
      </c>
      <c r="J239" s="9">
        <v>0</v>
      </c>
      <c r="K239" s="8">
        <f t="shared" si="61"/>
        <v>0</v>
      </c>
      <c r="L239" s="9">
        <v>0</v>
      </c>
      <c r="M239" s="9">
        <v>234050</v>
      </c>
      <c r="N239" s="8">
        <f t="shared" si="62"/>
        <v>234050</v>
      </c>
    </row>
    <row r="240" spans="1:14" ht="14.4" x14ac:dyDescent="0.3">
      <c r="A240" s="32">
        <f t="shared" si="51"/>
        <v>238</v>
      </c>
      <c r="B240" s="23" t="s">
        <v>188</v>
      </c>
      <c r="C240" s="8">
        <v>0</v>
      </c>
      <c r="D240" s="8">
        <v>0</v>
      </c>
      <c r="E240" s="8">
        <f t="shared" si="59"/>
        <v>0</v>
      </c>
      <c r="F240" s="9">
        <v>0</v>
      </c>
      <c r="G240" s="9">
        <v>0</v>
      </c>
      <c r="H240" s="8">
        <f t="shared" si="60"/>
        <v>0</v>
      </c>
      <c r="I240" s="9">
        <v>0</v>
      </c>
      <c r="J240" s="9">
        <v>0</v>
      </c>
      <c r="K240" s="8">
        <f t="shared" si="61"/>
        <v>0</v>
      </c>
      <c r="L240" s="9">
        <v>0</v>
      </c>
      <c r="M240" s="9">
        <v>0</v>
      </c>
      <c r="N240" s="8">
        <f t="shared" si="62"/>
        <v>0</v>
      </c>
    </row>
    <row r="241" spans="1:14" ht="14.4" x14ac:dyDescent="0.3">
      <c r="A241" s="32">
        <f t="shared" si="51"/>
        <v>239</v>
      </c>
      <c r="B241" s="23" t="s">
        <v>189</v>
      </c>
      <c r="C241" s="8">
        <v>0</v>
      </c>
      <c r="D241" s="8">
        <v>0</v>
      </c>
      <c r="E241" s="8">
        <f t="shared" si="59"/>
        <v>0</v>
      </c>
      <c r="F241" s="9">
        <v>0</v>
      </c>
      <c r="G241" s="9">
        <v>0</v>
      </c>
      <c r="H241" s="8">
        <f t="shared" si="60"/>
        <v>0</v>
      </c>
      <c r="I241" s="9">
        <v>0</v>
      </c>
      <c r="J241" s="9">
        <v>0</v>
      </c>
      <c r="K241" s="8">
        <f t="shared" si="61"/>
        <v>0</v>
      </c>
      <c r="L241" s="9">
        <v>0</v>
      </c>
      <c r="M241" s="9">
        <v>0</v>
      </c>
      <c r="N241" s="8">
        <f t="shared" si="62"/>
        <v>0</v>
      </c>
    </row>
    <row r="242" spans="1:14" ht="14.4" x14ac:dyDescent="0.3">
      <c r="A242" s="32">
        <f t="shared" si="51"/>
        <v>240</v>
      </c>
      <c r="B242" s="23" t="s">
        <v>190</v>
      </c>
      <c r="C242" s="8">
        <v>0</v>
      </c>
      <c r="D242" s="8">
        <v>0</v>
      </c>
      <c r="E242" s="8">
        <f t="shared" si="59"/>
        <v>0</v>
      </c>
      <c r="F242" s="9">
        <v>0</v>
      </c>
      <c r="G242" s="9">
        <v>0</v>
      </c>
      <c r="H242" s="8">
        <f t="shared" si="60"/>
        <v>0</v>
      </c>
      <c r="I242" s="9">
        <v>0</v>
      </c>
      <c r="J242" s="9">
        <v>0</v>
      </c>
      <c r="K242" s="8">
        <f t="shared" si="61"/>
        <v>0</v>
      </c>
      <c r="L242" s="9">
        <v>0</v>
      </c>
      <c r="M242" s="9">
        <v>0</v>
      </c>
      <c r="N242" s="8">
        <f t="shared" si="62"/>
        <v>0</v>
      </c>
    </row>
    <row r="243" spans="1:14" ht="14.4" x14ac:dyDescent="0.3">
      <c r="A243" s="32">
        <f t="shared" si="51"/>
        <v>241</v>
      </c>
      <c r="B243" s="23" t="s">
        <v>191</v>
      </c>
      <c r="C243" s="8">
        <v>0</v>
      </c>
      <c r="D243" s="8">
        <v>0</v>
      </c>
      <c r="E243" s="8">
        <f t="shared" si="59"/>
        <v>0</v>
      </c>
      <c r="F243" s="9">
        <v>0</v>
      </c>
      <c r="G243" s="9">
        <v>0</v>
      </c>
      <c r="H243" s="8">
        <f t="shared" si="60"/>
        <v>0</v>
      </c>
      <c r="I243" s="9">
        <v>24534</v>
      </c>
      <c r="J243" s="9">
        <v>0</v>
      </c>
      <c r="K243" s="8">
        <f t="shared" si="61"/>
        <v>-24534</v>
      </c>
      <c r="L243" s="9">
        <v>0</v>
      </c>
      <c r="M243" s="9">
        <v>0</v>
      </c>
      <c r="N243" s="8">
        <f t="shared" si="62"/>
        <v>0</v>
      </c>
    </row>
    <row r="244" spans="1:14" ht="14.4" x14ac:dyDescent="0.3">
      <c r="A244" s="32">
        <f t="shared" si="51"/>
        <v>242</v>
      </c>
      <c r="B244" s="23" t="s">
        <v>192</v>
      </c>
      <c r="C244" s="8">
        <v>0</v>
      </c>
      <c r="D244" s="8">
        <v>0</v>
      </c>
      <c r="E244" s="8">
        <f t="shared" si="59"/>
        <v>0</v>
      </c>
      <c r="F244" s="9">
        <v>0</v>
      </c>
      <c r="G244" s="9">
        <v>0</v>
      </c>
      <c r="H244" s="8">
        <f t="shared" si="60"/>
        <v>0</v>
      </c>
      <c r="I244" s="9">
        <v>0</v>
      </c>
      <c r="J244" s="9">
        <v>0</v>
      </c>
      <c r="K244" s="8">
        <f t="shared" si="61"/>
        <v>0</v>
      </c>
      <c r="L244" s="9">
        <v>0</v>
      </c>
      <c r="M244" s="9">
        <v>0</v>
      </c>
      <c r="N244" s="8">
        <f t="shared" si="62"/>
        <v>0</v>
      </c>
    </row>
    <row r="245" spans="1:14" ht="14.4" x14ac:dyDescent="0.3">
      <c r="A245" s="32">
        <f t="shared" si="51"/>
        <v>243</v>
      </c>
      <c r="B245" s="23" t="s">
        <v>193</v>
      </c>
      <c r="C245" s="8">
        <v>338844</v>
      </c>
      <c r="D245" s="8">
        <v>0</v>
      </c>
      <c r="E245" s="8">
        <f t="shared" si="59"/>
        <v>-338844</v>
      </c>
      <c r="F245" s="9">
        <v>1772055</v>
      </c>
      <c r="G245" s="9">
        <v>0</v>
      </c>
      <c r="H245" s="8">
        <f t="shared" si="60"/>
        <v>-1772055</v>
      </c>
      <c r="I245" s="9">
        <v>1868844</v>
      </c>
      <c r="J245" s="9">
        <v>0</v>
      </c>
      <c r="K245" s="8">
        <f t="shared" si="61"/>
        <v>-1868844</v>
      </c>
      <c r="L245" s="9">
        <v>0</v>
      </c>
      <c r="M245" s="9">
        <v>5509743</v>
      </c>
      <c r="N245" s="8">
        <f t="shared" si="62"/>
        <v>5509743</v>
      </c>
    </row>
    <row r="246" spans="1:14" ht="14.4" x14ac:dyDescent="0.3">
      <c r="A246" s="32">
        <f t="shared" si="51"/>
        <v>244</v>
      </c>
      <c r="B246" s="23" t="s">
        <v>194</v>
      </c>
      <c r="C246" s="8">
        <v>0</v>
      </c>
      <c r="D246" s="8">
        <v>0</v>
      </c>
      <c r="E246" s="8">
        <f t="shared" si="59"/>
        <v>0</v>
      </c>
      <c r="F246" s="9">
        <v>0</v>
      </c>
      <c r="G246" s="9">
        <v>0</v>
      </c>
      <c r="H246" s="8">
        <f t="shared" si="60"/>
        <v>0</v>
      </c>
      <c r="I246" s="9">
        <v>0</v>
      </c>
      <c r="J246" s="9">
        <v>0</v>
      </c>
      <c r="K246" s="8">
        <f t="shared" si="61"/>
        <v>0</v>
      </c>
      <c r="L246" s="9">
        <v>0</v>
      </c>
      <c r="M246" s="9">
        <v>0</v>
      </c>
      <c r="N246" s="8">
        <f t="shared" si="62"/>
        <v>0</v>
      </c>
    </row>
    <row r="247" spans="1:14" ht="14.4" x14ac:dyDescent="0.3">
      <c r="A247" s="32">
        <f t="shared" si="51"/>
        <v>245</v>
      </c>
      <c r="B247" s="23" t="s">
        <v>195</v>
      </c>
      <c r="C247" s="8">
        <v>0</v>
      </c>
      <c r="D247" s="8">
        <v>0</v>
      </c>
      <c r="E247" s="8">
        <f t="shared" si="59"/>
        <v>0</v>
      </c>
      <c r="F247" s="9">
        <v>10500</v>
      </c>
      <c r="G247" s="9">
        <v>0</v>
      </c>
      <c r="H247" s="8">
        <f t="shared" si="60"/>
        <v>-10500</v>
      </c>
      <c r="I247" s="9">
        <v>0</v>
      </c>
      <c r="J247" s="9">
        <v>0</v>
      </c>
      <c r="K247" s="8">
        <f t="shared" si="61"/>
        <v>0</v>
      </c>
      <c r="L247" s="9">
        <v>0</v>
      </c>
      <c r="M247" s="9">
        <v>0</v>
      </c>
      <c r="N247" s="8">
        <f t="shared" si="62"/>
        <v>0</v>
      </c>
    </row>
    <row r="248" spans="1:14" ht="14.4" x14ac:dyDescent="0.3">
      <c r="A248" s="32">
        <f t="shared" si="51"/>
        <v>246</v>
      </c>
      <c r="B248" s="23" t="s">
        <v>196</v>
      </c>
      <c r="C248" s="8">
        <v>273674.7</v>
      </c>
      <c r="D248" s="8">
        <v>0</v>
      </c>
      <c r="E248" s="8">
        <f t="shared" si="59"/>
        <v>-273674.7</v>
      </c>
      <c r="F248" s="9">
        <v>0</v>
      </c>
      <c r="G248" s="9">
        <v>0</v>
      </c>
      <c r="H248" s="8">
        <f t="shared" si="60"/>
        <v>0</v>
      </c>
      <c r="I248" s="9">
        <v>0</v>
      </c>
      <c r="J248" s="9">
        <v>0</v>
      </c>
      <c r="K248" s="8">
        <f t="shared" si="61"/>
        <v>0</v>
      </c>
      <c r="L248" s="9">
        <v>0</v>
      </c>
      <c r="M248" s="9">
        <v>0</v>
      </c>
      <c r="N248" s="8">
        <f t="shared" si="62"/>
        <v>0</v>
      </c>
    </row>
    <row r="249" spans="1:14" ht="14.4" x14ac:dyDescent="0.3">
      <c r="A249" s="32">
        <f t="shared" si="51"/>
        <v>247</v>
      </c>
      <c r="B249" s="23" t="s">
        <v>197</v>
      </c>
      <c r="C249" s="8">
        <v>0</v>
      </c>
      <c r="D249" s="8">
        <v>0</v>
      </c>
      <c r="E249" s="8">
        <f t="shared" si="59"/>
        <v>0</v>
      </c>
      <c r="F249" s="9">
        <v>0</v>
      </c>
      <c r="G249" s="9">
        <v>0</v>
      </c>
      <c r="H249" s="8">
        <f t="shared" si="60"/>
        <v>0</v>
      </c>
      <c r="I249" s="9">
        <v>57520</v>
      </c>
      <c r="J249" s="9">
        <v>0</v>
      </c>
      <c r="K249" s="8">
        <f t="shared" si="61"/>
        <v>-57520</v>
      </c>
      <c r="L249" s="9">
        <v>0</v>
      </c>
      <c r="M249" s="9">
        <v>0</v>
      </c>
      <c r="N249" s="8">
        <f t="shared" si="62"/>
        <v>0</v>
      </c>
    </row>
    <row r="250" spans="1:14" ht="14.4" x14ac:dyDescent="0.3">
      <c r="A250" s="32">
        <f t="shared" si="51"/>
        <v>248</v>
      </c>
      <c r="B250" s="23" t="s">
        <v>198</v>
      </c>
      <c r="C250" s="8">
        <v>0</v>
      </c>
      <c r="D250" s="8">
        <v>0</v>
      </c>
      <c r="E250" s="8">
        <f t="shared" si="59"/>
        <v>0</v>
      </c>
      <c r="F250" s="9">
        <v>0</v>
      </c>
      <c r="G250" s="9">
        <v>0</v>
      </c>
      <c r="H250" s="8">
        <f t="shared" si="60"/>
        <v>0</v>
      </c>
      <c r="I250" s="9">
        <v>0</v>
      </c>
      <c r="J250" s="9">
        <v>0</v>
      </c>
      <c r="K250" s="8">
        <f t="shared" si="61"/>
        <v>0</v>
      </c>
      <c r="L250" s="9">
        <v>0</v>
      </c>
      <c r="M250" s="9">
        <v>0</v>
      </c>
      <c r="N250" s="8">
        <f t="shared" si="62"/>
        <v>0</v>
      </c>
    </row>
    <row r="251" spans="1:14" ht="14.4" x14ac:dyDescent="0.3">
      <c r="A251" s="32">
        <f t="shared" si="51"/>
        <v>249</v>
      </c>
      <c r="B251" s="23" t="s">
        <v>199</v>
      </c>
      <c r="C251" s="8">
        <v>3300</v>
      </c>
      <c r="D251" s="8">
        <v>0</v>
      </c>
      <c r="E251" s="8">
        <f t="shared" si="59"/>
        <v>-3300</v>
      </c>
      <c r="F251" s="9">
        <v>0</v>
      </c>
      <c r="G251" s="9">
        <v>0</v>
      </c>
      <c r="H251" s="8">
        <f t="shared" si="60"/>
        <v>0</v>
      </c>
      <c r="I251" s="9">
        <v>3850</v>
      </c>
      <c r="J251" s="9">
        <v>0</v>
      </c>
      <c r="K251" s="8">
        <f t="shared" si="61"/>
        <v>-3850</v>
      </c>
      <c r="L251" s="9">
        <v>0</v>
      </c>
      <c r="M251" s="9">
        <v>0</v>
      </c>
      <c r="N251" s="8">
        <f t="shared" si="62"/>
        <v>0</v>
      </c>
    </row>
    <row r="252" spans="1:14" ht="14.4" x14ac:dyDescent="0.3">
      <c r="A252" s="32">
        <f t="shared" si="51"/>
        <v>250</v>
      </c>
      <c r="B252" s="23" t="s">
        <v>200</v>
      </c>
      <c r="C252" s="8">
        <v>0</v>
      </c>
      <c r="D252" s="8">
        <v>0</v>
      </c>
      <c r="E252" s="8">
        <f t="shared" si="59"/>
        <v>0</v>
      </c>
      <c r="F252" s="9">
        <v>0</v>
      </c>
      <c r="G252" s="9">
        <v>0</v>
      </c>
      <c r="H252" s="8">
        <f t="shared" si="60"/>
        <v>0</v>
      </c>
      <c r="I252" s="9">
        <v>0</v>
      </c>
      <c r="J252" s="9">
        <v>0</v>
      </c>
      <c r="K252" s="8">
        <f t="shared" si="61"/>
        <v>0</v>
      </c>
      <c r="L252" s="9">
        <v>0</v>
      </c>
      <c r="M252" s="9">
        <v>0</v>
      </c>
      <c r="N252" s="8">
        <f t="shared" si="62"/>
        <v>0</v>
      </c>
    </row>
    <row r="253" spans="1:14" ht="14.4" x14ac:dyDescent="0.3">
      <c r="A253" s="32">
        <f t="shared" si="51"/>
        <v>251</v>
      </c>
      <c r="B253" s="23" t="s">
        <v>201</v>
      </c>
      <c r="C253" s="8">
        <v>0</v>
      </c>
      <c r="D253" s="8">
        <v>0</v>
      </c>
      <c r="E253" s="8">
        <f t="shared" si="59"/>
        <v>0</v>
      </c>
      <c r="F253" s="9">
        <v>0</v>
      </c>
      <c r="G253" s="9">
        <v>0</v>
      </c>
      <c r="H253" s="8">
        <f t="shared" si="60"/>
        <v>0</v>
      </c>
      <c r="I253" s="9">
        <v>500</v>
      </c>
      <c r="J253" s="9">
        <v>0</v>
      </c>
      <c r="K253" s="8">
        <f t="shared" si="61"/>
        <v>-500</v>
      </c>
      <c r="L253" s="9">
        <v>0</v>
      </c>
      <c r="M253" s="9">
        <v>0</v>
      </c>
      <c r="N253" s="8">
        <f t="shared" si="62"/>
        <v>0</v>
      </c>
    </row>
    <row r="254" spans="1:14" ht="14.4" x14ac:dyDescent="0.3">
      <c r="A254" s="32">
        <f t="shared" si="51"/>
        <v>252</v>
      </c>
      <c r="B254" s="23" t="s">
        <v>202</v>
      </c>
      <c r="C254" s="8">
        <v>0</v>
      </c>
      <c r="D254" s="8">
        <v>0</v>
      </c>
      <c r="E254" s="8">
        <f t="shared" si="59"/>
        <v>0</v>
      </c>
      <c r="F254" s="9">
        <v>0</v>
      </c>
      <c r="G254" s="9">
        <v>0</v>
      </c>
      <c r="H254" s="8">
        <f t="shared" si="60"/>
        <v>0</v>
      </c>
      <c r="I254" s="9">
        <v>803</v>
      </c>
      <c r="J254" s="9">
        <v>0</v>
      </c>
      <c r="K254" s="8">
        <f t="shared" si="61"/>
        <v>-803</v>
      </c>
      <c r="L254" s="9">
        <v>0</v>
      </c>
      <c r="M254" s="9">
        <v>0</v>
      </c>
      <c r="N254" s="8">
        <f t="shared" si="62"/>
        <v>0</v>
      </c>
    </row>
    <row r="255" spans="1:14" ht="14.4" x14ac:dyDescent="0.3">
      <c r="A255" s="32">
        <f t="shared" si="51"/>
        <v>253</v>
      </c>
      <c r="B255" s="23" t="s">
        <v>203</v>
      </c>
      <c r="C255" s="8">
        <v>0</v>
      </c>
      <c r="D255" s="8">
        <v>0</v>
      </c>
      <c r="E255" s="8">
        <f t="shared" si="59"/>
        <v>0</v>
      </c>
      <c r="F255" s="9">
        <v>0</v>
      </c>
      <c r="G255" s="9">
        <v>0</v>
      </c>
      <c r="H255" s="8">
        <f t="shared" si="60"/>
        <v>0</v>
      </c>
      <c r="I255" s="9">
        <v>0</v>
      </c>
      <c r="J255" s="9">
        <v>0</v>
      </c>
      <c r="K255" s="8">
        <f t="shared" si="61"/>
        <v>0</v>
      </c>
      <c r="L255" s="9">
        <v>0</v>
      </c>
      <c r="M255" s="9">
        <v>0</v>
      </c>
      <c r="N255" s="8">
        <f t="shared" si="62"/>
        <v>0</v>
      </c>
    </row>
    <row r="256" spans="1:14" ht="14.4" x14ac:dyDescent="0.3">
      <c r="A256" s="32">
        <f t="shared" si="51"/>
        <v>254</v>
      </c>
      <c r="B256" s="23" t="s">
        <v>204</v>
      </c>
      <c r="C256" s="8">
        <v>0</v>
      </c>
      <c r="D256" s="8">
        <v>0</v>
      </c>
      <c r="E256" s="8">
        <f t="shared" si="59"/>
        <v>0</v>
      </c>
      <c r="F256" s="9">
        <v>0</v>
      </c>
      <c r="G256" s="9">
        <v>0</v>
      </c>
      <c r="H256" s="8">
        <f t="shared" si="60"/>
        <v>0</v>
      </c>
      <c r="I256" s="9">
        <v>0</v>
      </c>
      <c r="J256" s="9">
        <v>0</v>
      </c>
      <c r="K256" s="8">
        <f t="shared" si="61"/>
        <v>0</v>
      </c>
      <c r="L256" s="9">
        <v>0</v>
      </c>
      <c r="M256" s="9">
        <v>0</v>
      </c>
      <c r="N256" s="8">
        <f t="shared" si="62"/>
        <v>0</v>
      </c>
    </row>
    <row r="257" spans="1:14" ht="14.4" x14ac:dyDescent="0.3">
      <c r="A257" s="32">
        <f t="shared" si="51"/>
        <v>255</v>
      </c>
      <c r="B257" s="23" t="s">
        <v>205</v>
      </c>
      <c r="C257" s="8">
        <v>19486.89</v>
      </c>
      <c r="D257" s="8">
        <v>0</v>
      </c>
      <c r="E257" s="8">
        <f t="shared" si="59"/>
        <v>-19486.89</v>
      </c>
      <c r="F257" s="9">
        <v>10466.450000000001</v>
      </c>
      <c r="G257" s="9">
        <v>0</v>
      </c>
      <c r="H257" s="8">
        <f t="shared" si="60"/>
        <v>-10466.450000000001</v>
      </c>
      <c r="I257" s="9">
        <v>63807.45</v>
      </c>
      <c r="J257" s="9">
        <v>0</v>
      </c>
      <c r="K257" s="8">
        <f t="shared" si="61"/>
        <v>-63807.45</v>
      </c>
      <c r="L257" s="9">
        <v>19361.89</v>
      </c>
      <c r="M257" s="9">
        <v>0</v>
      </c>
      <c r="N257" s="8">
        <f t="shared" si="62"/>
        <v>-19361.89</v>
      </c>
    </row>
    <row r="258" spans="1:14" ht="14.4" x14ac:dyDescent="0.3">
      <c r="A258" s="32">
        <f t="shared" si="51"/>
        <v>256</v>
      </c>
      <c r="B258" s="23" t="s">
        <v>206</v>
      </c>
      <c r="C258" s="8">
        <v>93923.1</v>
      </c>
      <c r="D258" s="8">
        <v>0</v>
      </c>
      <c r="E258" s="8">
        <f t="shared" si="59"/>
        <v>-93923.1</v>
      </c>
      <c r="F258" s="9">
        <v>4137</v>
      </c>
      <c r="G258" s="9">
        <v>0</v>
      </c>
      <c r="H258" s="8">
        <f t="shared" si="60"/>
        <v>-4137</v>
      </c>
      <c r="I258" s="9">
        <v>4137</v>
      </c>
      <c r="J258" s="9">
        <v>0</v>
      </c>
      <c r="K258" s="8">
        <f t="shared" si="61"/>
        <v>-4137</v>
      </c>
      <c r="L258" s="9">
        <v>119301</v>
      </c>
      <c r="M258" s="9">
        <v>0</v>
      </c>
      <c r="N258" s="8">
        <f t="shared" si="62"/>
        <v>-119301</v>
      </c>
    </row>
    <row r="259" spans="1:14" ht="14.4" x14ac:dyDescent="0.3">
      <c r="A259" s="32">
        <f t="shared" si="51"/>
        <v>257</v>
      </c>
      <c r="B259" s="23" t="s">
        <v>207</v>
      </c>
      <c r="C259" s="8">
        <v>654114</v>
      </c>
      <c r="D259" s="8">
        <v>0</v>
      </c>
      <c r="E259" s="8">
        <f t="shared" si="59"/>
        <v>-654114</v>
      </c>
      <c r="F259" s="9">
        <v>293540</v>
      </c>
      <c r="G259" s="9">
        <v>0</v>
      </c>
      <c r="H259" s="8">
        <f t="shared" si="60"/>
        <v>-293540</v>
      </c>
      <c r="I259" s="9">
        <v>54910</v>
      </c>
      <c r="J259" s="9">
        <v>0</v>
      </c>
      <c r="K259" s="8">
        <f t="shared" si="61"/>
        <v>-54910</v>
      </c>
      <c r="L259" s="9">
        <v>27220</v>
      </c>
      <c r="M259" s="9">
        <v>0</v>
      </c>
      <c r="N259" s="8">
        <f t="shared" si="62"/>
        <v>-27220</v>
      </c>
    </row>
    <row r="260" spans="1:14" ht="14.4" x14ac:dyDescent="0.3">
      <c r="A260" s="32">
        <f t="shared" si="51"/>
        <v>258</v>
      </c>
      <c r="B260" s="23" t="s">
        <v>208</v>
      </c>
      <c r="C260" s="8">
        <v>1520225</v>
      </c>
      <c r="D260" s="8">
        <v>0</v>
      </c>
      <c r="E260" s="8">
        <f t="shared" si="59"/>
        <v>-1520225</v>
      </c>
      <c r="F260" s="9">
        <v>1520225</v>
      </c>
      <c r="G260" s="9">
        <v>0</v>
      </c>
      <c r="H260" s="8">
        <f t="shared" si="60"/>
        <v>-1520225</v>
      </c>
      <c r="I260" s="9">
        <v>1520225</v>
      </c>
      <c r="J260" s="9">
        <v>0</v>
      </c>
      <c r="K260" s="8">
        <f t="shared" si="61"/>
        <v>-1520225</v>
      </c>
      <c r="L260" s="9">
        <v>0</v>
      </c>
      <c r="M260" s="9">
        <v>0</v>
      </c>
      <c r="N260" s="8">
        <f t="shared" si="62"/>
        <v>0</v>
      </c>
    </row>
    <row r="261" spans="1:14" ht="14.4" x14ac:dyDescent="0.3">
      <c r="A261" s="32">
        <f t="shared" ref="A261:A324" si="63">A260+1</f>
        <v>259</v>
      </c>
      <c r="B261" s="23" t="s">
        <v>209</v>
      </c>
      <c r="C261" s="8">
        <v>0</v>
      </c>
      <c r="D261" s="8">
        <v>0</v>
      </c>
      <c r="E261" s="8">
        <f t="shared" si="59"/>
        <v>0</v>
      </c>
      <c r="F261" s="9">
        <v>0</v>
      </c>
      <c r="G261" s="9">
        <v>0</v>
      </c>
      <c r="H261" s="8">
        <f t="shared" si="60"/>
        <v>0</v>
      </c>
      <c r="I261" s="9">
        <v>0</v>
      </c>
      <c r="J261" s="9">
        <v>0</v>
      </c>
      <c r="K261" s="8">
        <f t="shared" si="61"/>
        <v>0</v>
      </c>
      <c r="L261" s="9">
        <v>0</v>
      </c>
      <c r="M261" s="9">
        <v>0</v>
      </c>
      <c r="N261" s="8">
        <f t="shared" si="62"/>
        <v>0</v>
      </c>
    </row>
    <row r="262" spans="1:14" ht="14.4" x14ac:dyDescent="0.3">
      <c r="A262" s="32">
        <f t="shared" si="63"/>
        <v>260</v>
      </c>
      <c r="B262" s="23" t="s">
        <v>210</v>
      </c>
      <c r="C262" s="8">
        <v>47821.9</v>
      </c>
      <c r="D262" s="8">
        <v>0</v>
      </c>
      <c r="E262" s="8">
        <f t="shared" si="59"/>
        <v>-47821.9</v>
      </c>
      <c r="F262" s="9">
        <v>16877.48</v>
      </c>
      <c r="G262" s="9">
        <v>0</v>
      </c>
      <c r="H262" s="8">
        <f t="shared" si="60"/>
        <v>-16877.48</v>
      </c>
      <c r="I262" s="9">
        <v>27475.73</v>
      </c>
      <c r="J262" s="9">
        <v>0</v>
      </c>
      <c r="K262" s="8">
        <f t="shared" si="61"/>
        <v>-27475.73</v>
      </c>
      <c r="L262" s="9">
        <v>11272.7</v>
      </c>
      <c r="M262" s="9">
        <v>0</v>
      </c>
      <c r="N262" s="8">
        <f t="shared" si="62"/>
        <v>-11272.7</v>
      </c>
    </row>
    <row r="263" spans="1:14" ht="14.4" x14ac:dyDescent="0.3">
      <c r="A263" s="32">
        <f t="shared" si="63"/>
        <v>261</v>
      </c>
      <c r="B263" s="23" t="s">
        <v>211</v>
      </c>
      <c r="C263" s="8">
        <v>24951.919999999998</v>
      </c>
      <c r="D263" s="8">
        <v>0</v>
      </c>
      <c r="E263" s="8">
        <f t="shared" si="59"/>
        <v>-24951.919999999998</v>
      </c>
      <c r="F263" s="9">
        <v>8035.81</v>
      </c>
      <c r="G263" s="9">
        <v>0</v>
      </c>
      <c r="H263" s="8">
        <f t="shared" si="60"/>
        <v>-8035.81</v>
      </c>
      <c r="I263" s="9">
        <v>13973.32</v>
      </c>
      <c r="J263" s="9">
        <v>0</v>
      </c>
      <c r="K263" s="8">
        <f t="shared" si="61"/>
        <v>-13973.32</v>
      </c>
      <c r="L263" s="9">
        <v>8479.7199999999993</v>
      </c>
      <c r="M263" s="9">
        <v>0</v>
      </c>
      <c r="N263" s="8">
        <f t="shared" si="62"/>
        <v>-8479.7199999999993</v>
      </c>
    </row>
    <row r="264" spans="1:14" ht="14.4" x14ac:dyDescent="0.3">
      <c r="A264" s="32">
        <f t="shared" si="63"/>
        <v>262</v>
      </c>
      <c r="B264" s="23" t="s">
        <v>212</v>
      </c>
      <c r="C264" s="8">
        <v>8000</v>
      </c>
      <c r="D264" s="8">
        <v>0</v>
      </c>
      <c r="E264" s="8">
        <f t="shared" si="59"/>
        <v>-8000</v>
      </c>
      <c r="F264" s="9">
        <v>4000</v>
      </c>
      <c r="G264" s="9">
        <v>0</v>
      </c>
      <c r="H264" s="8">
        <f t="shared" si="60"/>
        <v>-4000</v>
      </c>
      <c r="I264" s="9">
        <v>4000</v>
      </c>
      <c r="J264" s="9">
        <v>0</v>
      </c>
      <c r="K264" s="8">
        <f t="shared" si="61"/>
        <v>-4000</v>
      </c>
      <c r="L264" s="9">
        <v>0</v>
      </c>
      <c r="M264" s="9">
        <v>0</v>
      </c>
      <c r="N264" s="8">
        <f t="shared" si="62"/>
        <v>0</v>
      </c>
    </row>
    <row r="265" spans="1:14" ht="14.4" x14ac:dyDescent="0.3">
      <c r="A265" s="32">
        <f t="shared" si="63"/>
        <v>263</v>
      </c>
      <c r="B265" s="23" t="s">
        <v>213</v>
      </c>
      <c r="C265" s="8">
        <v>0</v>
      </c>
      <c r="D265" s="8">
        <v>0</v>
      </c>
      <c r="E265" s="8">
        <f t="shared" si="59"/>
        <v>0</v>
      </c>
      <c r="F265" s="9">
        <v>0</v>
      </c>
      <c r="G265" s="9">
        <v>0</v>
      </c>
      <c r="H265" s="8">
        <f t="shared" si="60"/>
        <v>0</v>
      </c>
      <c r="I265" s="9">
        <v>0</v>
      </c>
      <c r="J265" s="9">
        <v>0</v>
      </c>
      <c r="K265" s="8">
        <f t="shared" si="61"/>
        <v>0</v>
      </c>
      <c r="L265" s="9">
        <v>0</v>
      </c>
      <c r="M265" s="9">
        <v>0</v>
      </c>
      <c r="N265" s="8">
        <f t="shared" si="62"/>
        <v>0</v>
      </c>
    </row>
    <row r="266" spans="1:14" ht="14.4" x14ac:dyDescent="0.3">
      <c r="A266" s="32">
        <f t="shared" si="63"/>
        <v>264</v>
      </c>
      <c r="B266" s="23" t="s">
        <v>214</v>
      </c>
      <c r="C266" s="8">
        <v>13854.56</v>
      </c>
      <c r="D266" s="8">
        <v>0</v>
      </c>
      <c r="E266" s="8">
        <f t="shared" si="59"/>
        <v>-13854.56</v>
      </c>
      <c r="F266" s="9">
        <v>27479</v>
      </c>
      <c r="G266" s="9">
        <v>0</v>
      </c>
      <c r="H266" s="8">
        <f t="shared" si="60"/>
        <v>-27479</v>
      </c>
      <c r="I266" s="9">
        <v>26238.52</v>
      </c>
      <c r="J266" s="9">
        <v>0</v>
      </c>
      <c r="K266" s="8">
        <f t="shared" si="61"/>
        <v>-26238.52</v>
      </c>
      <c r="L266" s="9">
        <v>630</v>
      </c>
      <c r="M266" s="9">
        <v>0</v>
      </c>
      <c r="N266" s="8">
        <f t="shared" si="62"/>
        <v>-630</v>
      </c>
    </row>
    <row r="267" spans="1:14" ht="14.4" x14ac:dyDescent="0.3">
      <c r="A267" s="32">
        <f t="shared" si="63"/>
        <v>265</v>
      </c>
      <c r="B267" s="23" t="s">
        <v>215</v>
      </c>
      <c r="C267" s="8">
        <v>0</v>
      </c>
      <c r="D267" s="8">
        <v>0</v>
      </c>
      <c r="E267" s="8">
        <f t="shared" si="59"/>
        <v>0</v>
      </c>
      <c r="F267" s="9">
        <v>0</v>
      </c>
      <c r="G267" s="9">
        <v>0</v>
      </c>
      <c r="H267" s="8">
        <f t="shared" si="60"/>
        <v>0</v>
      </c>
      <c r="I267" s="9">
        <v>0</v>
      </c>
      <c r="J267" s="9">
        <v>0</v>
      </c>
      <c r="K267" s="8">
        <f t="shared" si="61"/>
        <v>0</v>
      </c>
      <c r="L267" s="9">
        <v>0</v>
      </c>
      <c r="M267" s="9">
        <v>0</v>
      </c>
      <c r="N267" s="8">
        <f t="shared" si="62"/>
        <v>0</v>
      </c>
    </row>
    <row r="268" spans="1:14" ht="14.4" x14ac:dyDescent="0.3">
      <c r="A268" s="32">
        <f t="shared" si="63"/>
        <v>266</v>
      </c>
      <c r="B268" s="23" t="s">
        <v>216</v>
      </c>
      <c r="C268" s="8">
        <v>358528</v>
      </c>
      <c r="D268" s="8">
        <v>0</v>
      </c>
      <c r="E268" s="8">
        <f t="shared" si="59"/>
        <v>-358528</v>
      </c>
      <c r="F268" s="9">
        <v>150835</v>
      </c>
      <c r="G268" s="9">
        <v>0</v>
      </c>
      <c r="H268" s="8">
        <f t="shared" si="60"/>
        <v>-150835</v>
      </c>
      <c r="I268" s="9">
        <v>89527</v>
      </c>
      <c r="J268" s="9">
        <v>0</v>
      </c>
      <c r="K268" s="8">
        <f t="shared" si="61"/>
        <v>-89527</v>
      </c>
      <c r="L268" s="9">
        <v>9823.5</v>
      </c>
      <c r="M268" s="9">
        <v>0</v>
      </c>
      <c r="N268" s="8">
        <f t="shared" si="62"/>
        <v>-9823.5</v>
      </c>
    </row>
    <row r="269" spans="1:14" ht="14.4" x14ac:dyDescent="0.3">
      <c r="A269" s="32">
        <f t="shared" si="63"/>
        <v>267</v>
      </c>
      <c r="B269" s="23" t="s">
        <v>217</v>
      </c>
      <c r="C269" s="8">
        <v>0</v>
      </c>
      <c r="D269" s="8">
        <v>0</v>
      </c>
      <c r="E269" s="8">
        <f t="shared" si="59"/>
        <v>0</v>
      </c>
      <c r="F269" s="9">
        <v>33.6</v>
      </c>
      <c r="G269" s="9">
        <v>0</v>
      </c>
      <c r="H269" s="8">
        <f t="shared" si="60"/>
        <v>-33.6</v>
      </c>
      <c r="I269" s="9">
        <v>33.6</v>
      </c>
      <c r="J269" s="9">
        <v>0</v>
      </c>
      <c r="K269" s="8">
        <f t="shared" si="61"/>
        <v>-33.6</v>
      </c>
      <c r="L269" s="9">
        <v>0</v>
      </c>
      <c r="M269" s="9">
        <v>0</v>
      </c>
      <c r="N269" s="8">
        <f t="shared" si="62"/>
        <v>0</v>
      </c>
    </row>
    <row r="270" spans="1:14" ht="14.4" x14ac:dyDescent="0.3">
      <c r="A270" s="32">
        <f t="shared" si="63"/>
        <v>268</v>
      </c>
      <c r="B270" s="23" t="s">
        <v>218</v>
      </c>
      <c r="C270" s="8">
        <v>0</v>
      </c>
      <c r="D270" s="8">
        <v>0</v>
      </c>
      <c r="E270" s="8">
        <f t="shared" si="59"/>
        <v>0</v>
      </c>
      <c r="F270" s="9">
        <v>0</v>
      </c>
      <c r="G270" s="9">
        <v>0</v>
      </c>
      <c r="H270" s="8">
        <f t="shared" si="60"/>
        <v>0</v>
      </c>
      <c r="I270" s="9">
        <v>0</v>
      </c>
      <c r="J270" s="9">
        <v>0</v>
      </c>
      <c r="K270" s="8">
        <f t="shared" si="61"/>
        <v>0</v>
      </c>
      <c r="L270" s="9">
        <v>0</v>
      </c>
      <c r="M270" s="9">
        <v>0</v>
      </c>
      <c r="N270" s="8">
        <f t="shared" si="62"/>
        <v>0</v>
      </c>
    </row>
    <row r="271" spans="1:14" ht="14.4" x14ac:dyDescent="0.3">
      <c r="A271" s="32">
        <f t="shared" si="63"/>
        <v>269</v>
      </c>
      <c r="B271" s="23" t="s">
        <v>219</v>
      </c>
      <c r="C271" s="8">
        <v>29699</v>
      </c>
      <c r="D271" s="8">
        <v>0</v>
      </c>
      <c r="E271" s="8">
        <f t="shared" si="59"/>
        <v>-29699</v>
      </c>
      <c r="F271" s="9">
        <v>32202.28</v>
      </c>
      <c r="G271" s="9">
        <v>0</v>
      </c>
      <c r="H271" s="8">
        <f t="shared" si="60"/>
        <v>-32202.28</v>
      </c>
      <c r="I271" s="9">
        <v>35793</v>
      </c>
      <c r="J271" s="9">
        <v>0</v>
      </c>
      <c r="K271" s="8">
        <f t="shared" si="61"/>
        <v>-35793</v>
      </c>
      <c r="L271" s="9">
        <v>31955</v>
      </c>
      <c r="M271" s="9">
        <v>0</v>
      </c>
      <c r="N271" s="8">
        <f t="shared" si="62"/>
        <v>-31955</v>
      </c>
    </row>
    <row r="272" spans="1:14" ht="14.4" x14ac:dyDescent="0.3">
      <c r="A272" s="32">
        <f t="shared" si="63"/>
        <v>270</v>
      </c>
      <c r="B272" s="23" t="s">
        <v>220</v>
      </c>
      <c r="C272" s="8">
        <v>24091</v>
      </c>
      <c r="D272" s="8">
        <v>0</v>
      </c>
      <c r="E272" s="8">
        <f t="shared" si="59"/>
        <v>-24091</v>
      </c>
      <c r="F272" s="9">
        <v>25259</v>
      </c>
      <c r="G272" s="9">
        <v>0</v>
      </c>
      <c r="H272" s="8">
        <f t="shared" si="60"/>
        <v>-25259</v>
      </c>
      <c r="I272" s="9">
        <v>23979</v>
      </c>
      <c r="J272" s="9">
        <v>0</v>
      </c>
      <c r="K272" s="8">
        <f t="shared" si="61"/>
        <v>-23979</v>
      </c>
      <c r="L272" s="9">
        <v>0</v>
      </c>
      <c r="M272" s="9">
        <v>0</v>
      </c>
      <c r="N272" s="8">
        <f t="shared" si="62"/>
        <v>0</v>
      </c>
    </row>
    <row r="273" spans="1:14" ht="14.4" x14ac:dyDescent="0.3">
      <c r="A273" s="32">
        <f t="shared" si="63"/>
        <v>271</v>
      </c>
      <c r="B273" s="23" t="s">
        <v>221</v>
      </c>
      <c r="C273" s="8">
        <v>176032.78</v>
      </c>
      <c r="D273" s="8">
        <v>0</v>
      </c>
      <c r="E273" s="8">
        <f t="shared" si="59"/>
        <v>-176032.78</v>
      </c>
      <c r="F273" s="9">
        <v>0</v>
      </c>
      <c r="G273" s="9">
        <v>0</v>
      </c>
      <c r="H273" s="8">
        <f t="shared" si="60"/>
        <v>0</v>
      </c>
      <c r="I273" s="9">
        <v>604620</v>
      </c>
      <c r="J273" s="9">
        <v>0</v>
      </c>
      <c r="K273" s="8">
        <f t="shared" si="61"/>
        <v>-604620</v>
      </c>
      <c r="L273" s="9">
        <v>0</v>
      </c>
      <c r="M273" s="9">
        <v>0</v>
      </c>
      <c r="N273" s="8">
        <f t="shared" si="62"/>
        <v>0</v>
      </c>
    </row>
    <row r="274" spans="1:14" ht="14.4" x14ac:dyDescent="0.3">
      <c r="A274" s="32">
        <f t="shared" si="63"/>
        <v>272</v>
      </c>
      <c r="B274" s="23" t="s">
        <v>222</v>
      </c>
      <c r="C274" s="8">
        <v>1431.1</v>
      </c>
      <c r="D274" s="8">
        <v>0</v>
      </c>
      <c r="E274" s="8">
        <f t="shared" si="59"/>
        <v>-1431.1</v>
      </c>
      <c r="F274" s="9">
        <v>630.1</v>
      </c>
      <c r="G274" s="9">
        <v>0</v>
      </c>
      <c r="H274" s="8">
        <f t="shared" si="60"/>
        <v>-630.1</v>
      </c>
      <c r="I274" s="9">
        <v>10348.700000000001</v>
      </c>
      <c r="J274" s="9">
        <v>0</v>
      </c>
      <c r="K274" s="8">
        <f t="shared" si="61"/>
        <v>-10348.700000000001</v>
      </c>
      <c r="L274" s="9">
        <v>11695.6</v>
      </c>
      <c r="M274" s="9">
        <v>0</v>
      </c>
      <c r="N274" s="8">
        <f t="shared" si="62"/>
        <v>-11695.6</v>
      </c>
    </row>
    <row r="275" spans="1:14" ht="14.4" x14ac:dyDescent="0.3">
      <c r="A275" s="32">
        <f t="shared" si="63"/>
        <v>273</v>
      </c>
      <c r="B275" s="23" t="s">
        <v>223</v>
      </c>
      <c r="C275" s="8">
        <v>98300</v>
      </c>
      <c r="D275" s="8">
        <v>0</v>
      </c>
      <c r="E275" s="8">
        <f t="shared" si="59"/>
        <v>-98300</v>
      </c>
      <c r="F275" s="9">
        <v>30876.18</v>
      </c>
      <c r="G275" s="9">
        <v>0</v>
      </c>
      <c r="H275" s="8">
        <f t="shared" si="60"/>
        <v>-30876.18</v>
      </c>
      <c r="I275" s="9">
        <v>5000</v>
      </c>
      <c r="J275" s="9">
        <v>0</v>
      </c>
      <c r="K275" s="8">
        <f t="shared" si="61"/>
        <v>-5000</v>
      </c>
      <c r="L275" s="9">
        <v>20650</v>
      </c>
      <c r="M275" s="9">
        <v>0</v>
      </c>
      <c r="N275" s="8">
        <f t="shared" si="62"/>
        <v>-20650</v>
      </c>
    </row>
    <row r="276" spans="1:14" ht="14.4" x14ac:dyDescent="0.3">
      <c r="A276" s="32">
        <f t="shared" si="63"/>
        <v>274</v>
      </c>
      <c r="B276" s="23" t="s">
        <v>224</v>
      </c>
      <c r="C276" s="8">
        <v>274280</v>
      </c>
      <c r="D276" s="8">
        <v>0</v>
      </c>
      <c r="E276" s="8">
        <f t="shared" si="59"/>
        <v>-274280</v>
      </c>
      <c r="F276" s="9">
        <v>1660</v>
      </c>
      <c r="G276" s="9">
        <v>0</v>
      </c>
      <c r="H276" s="8">
        <f t="shared" si="60"/>
        <v>-1660</v>
      </c>
      <c r="I276" s="9">
        <v>0</v>
      </c>
      <c r="J276" s="9">
        <v>0</v>
      </c>
      <c r="K276" s="8">
        <f t="shared" si="61"/>
        <v>0</v>
      </c>
      <c r="L276" s="9">
        <v>0</v>
      </c>
      <c r="M276" s="9">
        <v>0</v>
      </c>
      <c r="N276" s="8">
        <f t="shared" si="62"/>
        <v>0</v>
      </c>
    </row>
    <row r="277" spans="1:14" ht="14.4" x14ac:dyDescent="0.3">
      <c r="A277" s="32">
        <f t="shared" si="63"/>
        <v>275</v>
      </c>
      <c r="B277" s="23" t="s">
        <v>225</v>
      </c>
      <c r="C277" s="8">
        <v>15889.87</v>
      </c>
      <c r="D277" s="8">
        <v>0</v>
      </c>
      <c r="E277" s="8">
        <f t="shared" si="59"/>
        <v>-15889.87</v>
      </c>
      <c r="F277" s="9">
        <v>5017.1000000000004</v>
      </c>
      <c r="G277" s="9">
        <v>0</v>
      </c>
      <c r="H277" s="8">
        <f t="shared" si="60"/>
        <v>-5017.1000000000004</v>
      </c>
      <c r="I277" s="9">
        <v>18451.45</v>
      </c>
      <c r="J277" s="9">
        <v>0</v>
      </c>
      <c r="K277" s="8">
        <f t="shared" si="61"/>
        <v>-18451.45</v>
      </c>
      <c r="L277" s="9">
        <v>391060</v>
      </c>
      <c r="M277" s="9">
        <v>0</v>
      </c>
      <c r="N277" s="8">
        <f t="shared" si="62"/>
        <v>-391060</v>
      </c>
    </row>
    <row r="278" spans="1:14" ht="14.4" x14ac:dyDescent="0.3">
      <c r="A278" s="32">
        <f t="shared" si="63"/>
        <v>276</v>
      </c>
      <c r="B278" s="23" t="s">
        <v>226</v>
      </c>
      <c r="C278" s="8">
        <v>9000</v>
      </c>
      <c r="D278" s="8">
        <v>0</v>
      </c>
      <c r="E278" s="8">
        <f t="shared" si="59"/>
        <v>-9000</v>
      </c>
      <c r="F278" s="9">
        <v>170000</v>
      </c>
      <c r="G278" s="9">
        <v>0</v>
      </c>
      <c r="H278" s="8">
        <f t="shared" si="60"/>
        <v>-170000</v>
      </c>
      <c r="I278" s="9">
        <v>405596.8</v>
      </c>
      <c r="J278" s="9">
        <v>0</v>
      </c>
      <c r="K278" s="8">
        <f t="shared" si="61"/>
        <v>-405596.8</v>
      </c>
      <c r="L278" s="9">
        <v>160833</v>
      </c>
      <c r="M278" s="9">
        <v>0</v>
      </c>
      <c r="N278" s="8">
        <f t="shared" si="62"/>
        <v>-160833</v>
      </c>
    </row>
    <row r="279" spans="1:14" ht="14.4" x14ac:dyDescent="0.3">
      <c r="A279" s="32">
        <f t="shared" si="63"/>
        <v>277</v>
      </c>
      <c r="B279" s="23" t="s">
        <v>227</v>
      </c>
      <c r="C279" s="8">
        <v>0</v>
      </c>
      <c r="D279" s="8">
        <v>0</v>
      </c>
      <c r="E279" s="8">
        <f t="shared" si="59"/>
        <v>0</v>
      </c>
      <c r="F279" s="9">
        <v>0</v>
      </c>
      <c r="G279" s="9">
        <v>0</v>
      </c>
      <c r="H279" s="8">
        <f t="shared" si="60"/>
        <v>0</v>
      </c>
      <c r="I279" s="9">
        <v>0</v>
      </c>
      <c r="J279" s="9">
        <v>0</v>
      </c>
      <c r="K279" s="8">
        <f t="shared" si="61"/>
        <v>0</v>
      </c>
      <c r="L279" s="9">
        <v>0</v>
      </c>
      <c r="M279" s="9">
        <v>0</v>
      </c>
      <c r="N279" s="8">
        <f t="shared" si="62"/>
        <v>0</v>
      </c>
    </row>
    <row r="280" spans="1:14" ht="14.4" x14ac:dyDescent="0.3">
      <c r="A280" s="32">
        <f t="shared" si="63"/>
        <v>278</v>
      </c>
      <c r="B280" s="23" t="s">
        <v>228</v>
      </c>
      <c r="C280" s="8">
        <v>5420.5</v>
      </c>
      <c r="D280" s="8">
        <v>0</v>
      </c>
      <c r="E280" s="8">
        <f t="shared" si="59"/>
        <v>-5420.5</v>
      </c>
      <c r="F280" s="9">
        <v>0</v>
      </c>
      <c r="G280" s="9">
        <v>0</v>
      </c>
      <c r="H280" s="8">
        <f t="shared" si="60"/>
        <v>0</v>
      </c>
      <c r="I280" s="9">
        <v>0</v>
      </c>
      <c r="J280" s="9">
        <v>0</v>
      </c>
      <c r="K280" s="8">
        <f t="shared" si="61"/>
        <v>0</v>
      </c>
      <c r="L280" s="9">
        <v>1802.5</v>
      </c>
      <c r="M280" s="9">
        <v>0</v>
      </c>
      <c r="N280" s="8">
        <f t="shared" si="62"/>
        <v>-1802.5</v>
      </c>
    </row>
    <row r="281" spans="1:14" ht="14.4" x14ac:dyDescent="0.3">
      <c r="A281" s="32">
        <f t="shared" si="63"/>
        <v>279</v>
      </c>
      <c r="B281" s="23" t="s">
        <v>229</v>
      </c>
      <c r="C281" s="8">
        <v>0</v>
      </c>
      <c r="D281" s="8">
        <v>0</v>
      </c>
      <c r="E281" s="8">
        <f t="shared" si="59"/>
        <v>0</v>
      </c>
      <c r="F281" s="9">
        <v>0</v>
      </c>
      <c r="G281" s="9">
        <v>0</v>
      </c>
      <c r="H281" s="8">
        <f t="shared" si="60"/>
        <v>0</v>
      </c>
      <c r="I281" s="9">
        <v>0</v>
      </c>
      <c r="J281" s="9">
        <v>0</v>
      </c>
      <c r="K281" s="8">
        <f t="shared" si="61"/>
        <v>0</v>
      </c>
      <c r="L281" s="9">
        <v>0</v>
      </c>
      <c r="M281" s="9">
        <v>650000</v>
      </c>
      <c r="N281" s="8">
        <f t="shared" si="62"/>
        <v>650000</v>
      </c>
    </row>
    <row r="282" spans="1:14" ht="14.4" x14ac:dyDescent="0.3">
      <c r="A282" s="32">
        <f t="shared" si="63"/>
        <v>280</v>
      </c>
      <c r="B282" s="23" t="s">
        <v>230</v>
      </c>
      <c r="C282" s="8">
        <v>63100</v>
      </c>
      <c r="D282" s="8">
        <v>0</v>
      </c>
      <c r="E282" s="8">
        <f t="shared" si="59"/>
        <v>-63100</v>
      </c>
      <c r="F282" s="9">
        <v>105632.5</v>
      </c>
      <c r="G282" s="9">
        <v>0</v>
      </c>
      <c r="H282" s="8">
        <f t="shared" si="60"/>
        <v>-105632.5</v>
      </c>
      <c r="I282" s="9">
        <v>58472.800000000003</v>
      </c>
      <c r="J282" s="9">
        <v>0</v>
      </c>
      <c r="K282" s="8">
        <f t="shared" si="61"/>
        <v>-58472.800000000003</v>
      </c>
      <c r="L282" s="9">
        <v>65486.9</v>
      </c>
      <c r="M282" s="9">
        <v>0</v>
      </c>
      <c r="N282" s="8">
        <f t="shared" si="62"/>
        <v>-65486.9</v>
      </c>
    </row>
    <row r="283" spans="1:14" ht="14.4" x14ac:dyDescent="0.3">
      <c r="A283" s="32">
        <f t="shared" si="63"/>
        <v>281</v>
      </c>
      <c r="B283" s="23" t="s">
        <v>231</v>
      </c>
      <c r="C283" s="8">
        <v>140314.4</v>
      </c>
      <c r="D283" s="8">
        <v>0</v>
      </c>
      <c r="E283" s="8">
        <f t="shared" si="59"/>
        <v>-140314.4</v>
      </c>
      <c r="F283" s="9">
        <v>304299.88</v>
      </c>
      <c r="G283" s="9">
        <v>0</v>
      </c>
      <c r="H283" s="8">
        <f t="shared" si="60"/>
        <v>-304299.88</v>
      </c>
      <c r="I283" s="9">
        <v>906191.97</v>
      </c>
      <c r="J283" s="9">
        <v>0</v>
      </c>
      <c r="K283" s="8">
        <f t="shared" si="61"/>
        <v>-906191.97</v>
      </c>
      <c r="L283" s="9">
        <v>47700</v>
      </c>
      <c r="M283" s="9">
        <v>0</v>
      </c>
      <c r="N283" s="8">
        <f t="shared" si="62"/>
        <v>-47700</v>
      </c>
    </row>
    <row r="284" spans="1:14" ht="14.4" x14ac:dyDescent="0.3">
      <c r="A284" s="32">
        <f t="shared" si="63"/>
        <v>282</v>
      </c>
      <c r="B284" s="23" t="s">
        <v>232</v>
      </c>
      <c r="C284" s="8">
        <v>0</v>
      </c>
      <c r="D284" s="8">
        <v>0</v>
      </c>
      <c r="E284" s="8">
        <f t="shared" si="59"/>
        <v>0</v>
      </c>
      <c r="F284" s="9">
        <v>0</v>
      </c>
      <c r="G284" s="9">
        <v>0</v>
      </c>
      <c r="H284" s="8">
        <f t="shared" si="60"/>
        <v>0</v>
      </c>
      <c r="I284" s="9">
        <v>0</v>
      </c>
      <c r="J284" s="9">
        <v>0</v>
      </c>
      <c r="K284" s="8">
        <f t="shared" si="61"/>
        <v>0</v>
      </c>
      <c r="L284" s="9">
        <v>0</v>
      </c>
      <c r="M284" s="9">
        <v>0</v>
      </c>
      <c r="N284" s="8">
        <f t="shared" si="62"/>
        <v>0</v>
      </c>
    </row>
    <row r="285" spans="1:14" ht="14.4" x14ac:dyDescent="0.3">
      <c r="A285" s="32">
        <f t="shared" si="63"/>
        <v>283</v>
      </c>
      <c r="B285" s="23" t="s">
        <v>233</v>
      </c>
      <c r="C285" s="8">
        <v>60000</v>
      </c>
      <c r="D285" s="8">
        <v>0</v>
      </c>
      <c r="E285" s="8">
        <f t="shared" si="59"/>
        <v>-60000</v>
      </c>
      <c r="F285" s="9">
        <v>60000</v>
      </c>
      <c r="G285" s="9">
        <v>0</v>
      </c>
      <c r="H285" s="8">
        <f t="shared" si="60"/>
        <v>-60000</v>
      </c>
      <c r="I285" s="9">
        <v>60000</v>
      </c>
      <c r="J285" s="9">
        <v>0</v>
      </c>
      <c r="K285" s="8">
        <f t="shared" si="61"/>
        <v>-60000</v>
      </c>
      <c r="L285" s="9">
        <v>0</v>
      </c>
      <c r="M285" s="9">
        <v>0</v>
      </c>
      <c r="N285" s="8">
        <f t="shared" si="62"/>
        <v>0</v>
      </c>
    </row>
    <row r="286" spans="1:14" ht="14.4" x14ac:dyDescent="0.3">
      <c r="A286" s="32">
        <f t="shared" si="63"/>
        <v>284</v>
      </c>
      <c r="B286" s="23" t="s">
        <v>234</v>
      </c>
      <c r="C286" s="8">
        <v>0</v>
      </c>
      <c r="D286" s="8">
        <v>0</v>
      </c>
      <c r="E286" s="8">
        <f t="shared" si="59"/>
        <v>0</v>
      </c>
      <c r="F286" s="9">
        <v>0</v>
      </c>
      <c r="G286" s="9">
        <v>0</v>
      </c>
      <c r="H286" s="8">
        <f t="shared" si="60"/>
        <v>0</v>
      </c>
      <c r="I286" s="9">
        <v>0</v>
      </c>
      <c r="J286" s="9">
        <v>0</v>
      </c>
      <c r="K286" s="8">
        <f t="shared" si="61"/>
        <v>0</v>
      </c>
      <c r="L286" s="9">
        <v>0</v>
      </c>
      <c r="M286" s="9">
        <v>0</v>
      </c>
      <c r="N286" s="8">
        <f t="shared" si="62"/>
        <v>0</v>
      </c>
    </row>
    <row r="287" spans="1:14" ht="14.4" x14ac:dyDescent="0.3">
      <c r="A287" s="32">
        <f t="shared" si="63"/>
        <v>285</v>
      </c>
      <c r="B287" s="23" t="s">
        <v>235</v>
      </c>
      <c r="C287" s="8">
        <v>0</v>
      </c>
      <c r="D287" s="8">
        <v>0</v>
      </c>
      <c r="E287" s="8">
        <f t="shared" si="59"/>
        <v>0</v>
      </c>
      <c r="F287" s="9">
        <v>0</v>
      </c>
      <c r="G287" s="9">
        <v>0</v>
      </c>
      <c r="H287" s="8">
        <f t="shared" si="60"/>
        <v>0</v>
      </c>
      <c r="I287" s="9">
        <v>0</v>
      </c>
      <c r="J287" s="9">
        <v>0</v>
      </c>
      <c r="K287" s="8">
        <f t="shared" si="61"/>
        <v>0</v>
      </c>
      <c r="L287" s="9">
        <v>0</v>
      </c>
      <c r="M287" s="9">
        <v>0</v>
      </c>
      <c r="N287" s="8">
        <f t="shared" si="62"/>
        <v>0</v>
      </c>
    </row>
    <row r="288" spans="1:14" ht="14.4" x14ac:dyDescent="0.3">
      <c r="A288" s="32">
        <f t="shared" si="63"/>
        <v>286</v>
      </c>
      <c r="B288" s="23" t="s">
        <v>236</v>
      </c>
      <c r="C288" s="8">
        <v>24902</v>
      </c>
      <c r="D288" s="8">
        <v>0</v>
      </c>
      <c r="E288" s="8">
        <f t="shared" si="59"/>
        <v>-24902</v>
      </c>
      <c r="F288" s="9">
        <v>26892.5</v>
      </c>
      <c r="G288" s="9">
        <v>0</v>
      </c>
      <c r="H288" s="8">
        <f t="shared" si="60"/>
        <v>-26892.5</v>
      </c>
      <c r="I288" s="9">
        <v>21169</v>
      </c>
      <c r="J288" s="9">
        <v>0</v>
      </c>
      <c r="K288" s="8">
        <f t="shared" si="61"/>
        <v>-21169</v>
      </c>
      <c r="L288" s="9">
        <v>59639</v>
      </c>
      <c r="M288" s="9">
        <v>0</v>
      </c>
      <c r="N288" s="8">
        <f t="shared" si="62"/>
        <v>-59639</v>
      </c>
    </row>
    <row r="289" spans="1:14" ht="14.4" x14ac:dyDescent="0.3">
      <c r="A289" s="32">
        <f t="shared" si="63"/>
        <v>287</v>
      </c>
      <c r="B289" s="23" t="s">
        <v>237</v>
      </c>
      <c r="C289" s="8">
        <v>2880</v>
      </c>
      <c r="D289" s="8">
        <v>0</v>
      </c>
      <c r="E289" s="8">
        <f t="shared" ref="E289:E314" si="64">-C289+D289</f>
        <v>-2880</v>
      </c>
      <c r="F289" s="9">
        <v>4838</v>
      </c>
      <c r="G289" s="9">
        <v>0</v>
      </c>
      <c r="H289" s="8">
        <f t="shared" ref="H289:H314" si="65">-F289+G289</f>
        <v>-4838</v>
      </c>
      <c r="I289" s="9">
        <v>3910</v>
      </c>
      <c r="J289" s="9">
        <v>0</v>
      </c>
      <c r="K289" s="8">
        <f t="shared" ref="K289:K314" si="66">-I289+J289</f>
        <v>-3910</v>
      </c>
      <c r="L289" s="9">
        <v>0</v>
      </c>
      <c r="M289" s="9">
        <v>0</v>
      </c>
      <c r="N289" s="8">
        <f t="shared" ref="N289:N314" si="67">-L289+M289</f>
        <v>0</v>
      </c>
    </row>
    <row r="290" spans="1:14" ht="14.4" x14ac:dyDescent="0.3">
      <c r="A290" s="32">
        <f t="shared" si="63"/>
        <v>288</v>
      </c>
      <c r="B290" s="23" t="s">
        <v>238</v>
      </c>
      <c r="C290" s="8">
        <v>228482.28</v>
      </c>
      <c r="D290" s="8">
        <v>0</v>
      </c>
      <c r="E290" s="8">
        <f t="shared" si="64"/>
        <v>-228482.28</v>
      </c>
      <c r="F290" s="9">
        <v>202097.48</v>
      </c>
      <c r="G290" s="9">
        <v>0</v>
      </c>
      <c r="H290" s="8">
        <f t="shared" si="65"/>
        <v>-202097.48</v>
      </c>
      <c r="I290" s="9">
        <v>128403.14</v>
      </c>
      <c r="J290" s="9">
        <v>0</v>
      </c>
      <c r="K290" s="8">
        <f t="shared" si="66"/>
        <v>-128403.14</v>
      </c>
      <c r="L290" s="9">
        <v>118357.55</v>
      </c>
      <c r="M290" s="9">
        <v>0</v>
      </c>
      <c r="N290" s="8">
        <f t="shared" si="67"/>
        <v>-118357.55</v>
      </c>
    </row>
    <row r="291" spans="1:14" ht="14.4" x14ac:dyDescent="0.3">
      <c r="A291" s="32">
        <f t="shared" si="63"/>
        <v>289</v>
      </c>
      <c r="B291" s="23" t="s">
        <v>239</v>
      </c>
      <c r="C291" s="8">
        <v>18100</v>
      </c>
      <c r="D291" s="8">
        <v>0</v>
      </c>
      <c r="E291" s="8">
        <f t="shared" si="64"/>
        <v>-18100</v>
      </c>
      <c r="F291" s="9">
        <v>13595.94</v>
      </c>
      <c r="G291" s="9">
        <v>0</v>
      </c>
      <c r="H291" s="8">
        <f t="shared" si="65"/>
        <v>-13595.94</v>
      </c>
      <c r="I291" s="9">
        <v>22002.89</v>
      </c>
      <c r="J291" s="9">
        <v>0</v>
      </c>
      <c r="K291" s="8">
        <f t="shared" si="66"/>
        <v>-22002.89</v>
      </c>
      <c r="L291" s="9">
        <v>10206.870000000001</v>
      </c>
      <c r="M291" s="9">
        <v>0</v>
      </c>
      <c r="N291" s="8">
        <f t="shared" si="67"/>
        <v>-10206.870000000001</v>
      </c>
    </row>
    <row r="292" spans="1:14" ht="14.4" x14ac:dyDescent="0.3">
      <c r="A292" s="32">
        <f t="shared" si="63"/>
        <v>290</v>
      </c>
      <c r="B292" s="23" t="s">
        <v>240</v>
      </c>
      <c r="C292" s="8">
        <v>0</v>
      </c>
      <c r="D292" s="8">
        <v>0</v>
      </c>
      <c r="E292" s="8">
        <f t="shared" si="64"/>
        <v>0</v>
      </c>
      <c r="F292" s="9">
        <v>0</v>
      </c>
      <c r="G292" s="9">
        <v>0</v>
      </c>
      <c r="H292" s="8">
        <f t="shared" si="65"/>
        <v>0</v>
      </c>
      <c r="I292" s="9">
        <v>0</v>
      </c>
      <c r="J292" s="9">
        <v>2618681</v>
      </c>
      <c r="K292" s="8">
        <f t="shared" si="66"/>
        <v>2618681</v>
      </c>
      <c r="L292" s="9">
        <v>0</v>
      </c>
      <c r="M292" s="9">
        <v>13058199.09</v>
      </c>
      <c r="N292" s="8">
        <f t="shared" si="67"/>
        <v>13058199.09</v>
      </c>
    </row>
    <row r="293" spans="1:14" ht="14.4" x14ac:dyDescent="0.3">
      <c r="A293" s="32">
        <f t="shared" si="63"/>
        <v>291</v>
      </c>
      <c r="B293" s="23" t="s">
        <v>241</v>
      </c>
      <c r="C293" s="8">
        <v>0</v>
      </c>
      <c r="D293" s="8">
        <v>0</v>
      </c>
      <c r="E293" s="8">
        <f t="shared" si="64"/>
        <v>0</v>
      </c>
      <c r="F293" s="9">
        <v>0</v>
      </c>
      <c r="G293" s="9">
        <v>0</v>
      </c>
      <c r="H293" s="8">
        <f t="shared" si="65"/>
        <v>0</v>
      </c>
      <c r="I293" s="9">
        <v>2078</v>
      </c>
      <c r="J293" s="9">
        <v>0</v>
      </c>
      <c r="K293" s="8">
        <f t="shared" si="66"/>
        <v>-2078</v>
      </c>
      <c r="L293" s="9">
        <v>0</v>
      </c>
      <c r="M293" s="9">
        <v>0</v>
      </c>
      <c r="N293" s="8">
        <f t="shared" si="67"/>
        <v>0</v>
      </c>
    </row>
    <row r="294" spans="1:14" ht="14.4" x14ac:dyDescent="0.3">
      <c r="A294" s="32">
        <f t="shared" si="63"/>
        <v>292</v>
      </c>
      <c r="B294" s="23" t="s">
        <v>242</v>
      </c>
      <c r="C294" s="8">
        <v>0</v>
      </c>
      <c r="D294" s="8">
        <v>0</v>
      </c>
      <c r="E294" s="8">
        <f t="shared" si="64"/>
        <v>0</v>
      </c>
      <c r="F294" s="9">
        <v>0</v>
      </c>
      <c r="G294" s="9">
        <v>0</v>
      </c>
      <c r="H294" s="8">
        <f t="shared" si="65"/>
        <v>0</v>
      </c>
      <c r="I294" s="9">
        <v>0</v>
      </c>
      <c r="J294" s="9">
        <v>0</v>
      </c>
      <c r="K294" s="8">
        <f t="shared" si="66"/>
        <v>0</v>
      </c>
      <c r="L294" s="9">
        <v>0</v>
      </c>
      <c r="M294" s="9">
        <v>0</v>
      </c>
      <c r="N294" s="8">
        <f t="shared" si="67"/>
        <v>0</v>
      </c>
    </row>
    <row r="295" spans="1:14" ht="14.4" x14ac:dyDescent="0.3">
      <c r="A295" s="32">
        <f t="shared" si="63"/>
        <v>293</v>
      </c>
      <c r="B295" s="23" t="s">
        <v>243</v>
      </c>
      <c r="C295" s="8">
        <v>0</v>
      </c>
      <c r="D295" s="8">
        <v>0</v>
      </c>
      <c r="E295" s="8">
        <f t="shared" si="64"/>
        <v>0</v>
      </c>
      <c r="F295" s="9">
        <v>0</v>
      </c>
      <c r="G295" s="9">
        <v>0</v>
      </c>
      <c r="H295" s="8">
        <f t="shared" si="65"/>
        <v>0</v>
      </c>
      <c r="I295" s="9">
        <v>0</v>
      </c>
      <c r="J295" s="9">
        <v>0</v>
      </c>
      <c r="K295" s="8">
        <f t="shared" si="66"/>
        <v>0</v>
      </c>
      <c r="L295" s="9">
        <v>0</v>
      </c>
      <c r="M295" s="9">
        <v>0</v>
      </c>
      <c r="N295" s="8">
        <f t="shared" si="67"/>
        <v>0</v>
      </c>
    </row>
    <row r="296" spans="1:14" ht="14.4" x14ac:dyDescent="0.3">
      <c r="A296" s="32">
        <f t="shared" si="63"/>
        <v>294</v>
      </c>
      <c r="B296" s="23" t="s">
        <v>244</v>
      </c>
      <c r="C296" s="8">
        <v>525</v>
      </c>
      <c r="D296" s="8">
        <v>0</v>
      </c>
      <c r="E296" s="8">
        <f t="shared" si="64"/>
        <v>-525</v>
      </c>
      <c r="F296" s="9">
        <v>3400</v>
      </c>
      <c r="G296" s="9">
        <v>0</v>
      </c>
      <c r="H296" s="8">
        <f t="shared" si="65"/>
        <v>-3400</v>
      </c>
      <c r="I296" s="9">
        <v>0</v>
      </c>
      <c r="J296" s="9">
        <v>0</v>
      </c>
      <c r="K296" s="8">
        <f t="shared" si="66"/>
        <v>0</v>
      </c>
      <c r="L296" s="9">
        <v>53750</v>
      </c>
      <c r="M296" s="9">
        <v>0</v>
      </c>
      <c r="N296" s="8">
        <f t="shared" si="67"/>
        <v>-53750</v>
      </c>
    </row>
    <row r="297" spans="1:14" ht="14.4" x14ac:dyDescent="0.3">
      <c r="A297" s="32">
        <f t="shared" si="63"/>
        <v>295</v>
      </c>
      <c r="B297" s="23" t="s">
        <v>245</v>
      </c>
      <c r="C297" s="8">
        <v>528188.92000000004</v>
      </c>
      <c r="D297" s="8">
        <v>0</v>
      </c>
      <c r="E297" s="8">
        <f t="shared" si="64"/>
        <v>-528188.92000000004</v>
      </c>
      <c r="F297" s="9">
        <v>24056.89</v>
      </c>
      <c r="G297" s="9">
        <v>0</v>
      </c>
      <c r="H297" s="8">
        <f t="shared" si="65"/>
        <v>-24056.89</v>
      </c>
      <c r="I297" s="9">
        <v>83130</v>
      </c>
      <c r="J297" s="9">
        <v>0</v>
      </c>
      <c r="K297" s="8">
        <f t="shared" si="66"/>
        <v>-83130</v>
      </c>
      <c r="L297" s="9">
        <v>11117</v>
      </c>
      <c r="M297" s="9">
        <v>0</v>
      </c>
      <c r="N297" s="8">
        <f t="shared" si="67"/>
        <v>-11117</v>
      </c>
    </row>
    <row r="298" spans="1:14" ht="14.4" x14ac:dyDescent="0.3">
      <c r="A298" s="32">
        <f t="shared" si="63"/>
        <v>296</v>
      </c>
      <c r="B298" s="23" t="s">
        <v>246</v>
      </c>
      <c r="C298" s="8">
        <v>0</v>
      </c>
      <c r="D298" s="8">
        <v>0</v>
      </c>
      <c r="E298" s="8">
        <f t="shared" si="64"/>
        <v>0</v>
      </c>
      <c r="F298" s="9">
        <v>0</v>
      </c>
      <c r="G298" s="9">
        <v>0</v>
      </c>
      <c r="H298" s="8">
        <f t="shared" si="65"/>
        <v>0</v>
      </c>
      <c r="I298" s="9">
        <v>0</v>
      </c>
      <c r="J298" s="9">
        <v>0</v>
      </c>
      <c r="K298" s="8">
        <f t="shared" si="66"/>
        <v>0</v>
      </c>
      <c r="L298" s="9">
        <v>0</v>
      </c>
      <c r="M298" s="9">
        <v>0</v>
      </c>
      <c r="N298" s="8">
        <f t="shared" si="67"/>
        <v>0</v>
      </c>
    </row>
    <row r="299" spans="1:14" ht="14.4" x14ac:dyDescent="0.3">
      <c r="A299" s="32">
        <f t="shared" si="63"/>
        <v>297</v>
      </c>
      <c r="B299" s="23" t="s">
        <v>247</v>
      </c>
      <c r="C299" s="8">
        <v>10.56</v>
      </c>
      <c r="D299" s="8">
        <v>0</v>
      </c>
      <c r="E299" s="8">
        <f t="shared" si="64"/>
        <v>-10.56</v>
      </c>
      <c r="F299" s="9">
        <v>7.22</v>
      </c>
      <c r="G299" s="9">
        <v>0</v>
      </c>
      <c r="H299" s="8">
        <f t="shared" si="65"/>
        <v>-7.22</v>
      </c>
      <c r="I299" s="9">
        <v>7.13</v>
      </c>
      <c r="J299" s="9">
        <v>0</v>
      </c>
      <c r="K299" s="8">
        <f t="shared" si="66"/>
        <v>-7.13</v>
      </c>
      <c r="L299" s="9">
        <v>0</v>
      </c>
      <c r="M299" s="9">
        <v>53.11</v>
      </c>
      <c r="N299" s="8">
        <f t="shared" si="67"/>
        <v>53.11</v>
      </c>
    </row>
    <row r="300" spans="1:14" ht="14.4" x14ac:dyDescent="0.3">
      <c r="A300" s="32">
        <f t="shared" si="63"/>
        <v>298</v>
      </c>
      <c r="B300" s="23" t="s">
        <v>248</v>
      </c>
      <c r="C300" s="8">
        <v>270519.18</v>
      </c>
      <c r="D300" s="8">
        <v>0</v>
      </c>
      <c r="E300" s="8">
        <f t="shared" si="64"/>
        <v>-270519.18</v>
      </c>
      <c r="F300" s="9">
        <v>251680.41</v>
      </c>
      <c r="G300" s="9">
        <v>0</v>
      </c>
      <c r="H300" s="8">
        <f t="shared" si="65"/>
        <v>-251680.41</v>
      </c>
      <c r="I300" s="9">
        <v>266958.75</v>
      </c>
      <c r="J300" s="9">
        <v>0</v>
      </c>
      <c r="K300" s="8">
        <f t="shared" si="66"/>
        <v>-266958.75</v>
      </c>
      <c r="L300" s="9">
        <v>0</v>
      </c>
      <c r="M300" s="9">
        <v>0</v>
      </c>
      <c r="N300" s="8">
        <f t="shared" si="67"/>
        <v>0</v>
      </c>
    </row>
    <row r="301" spans="1:14" ht="14.4" x14ac:dyDescent="0.3">
      <c r="A301" s="32">
        <f t="shared" si="63"/>
        <v>299</v>
      </c>
      <c r="B301" s="23" t="s">
        <v>249</v>
      </c>
      <c r="C301" s="8">
        <v>0</v>
      </c>
      <c r="D301" s="8">
        <v>0</v>
      </c>
      <c r="E301" s="8">
        <f t="shared" si="64"/>
        <v>0</v>
      </c>
      <c r="F301" s="9">
        <v>0</v>
      </c>
      <c r="G301" s="9">
        <v>0</v>
      </c>
      <c r="H301" s="8">
        <f t="shared" si="65"/>
        <v>0</v>
      </c>
      <c r="I301" s="9">
        <v>0</v>
      </c>
      <c r="J301" s="9">
        <v>0</v>
      </c>
      <c r="K301" s="8">
        <f t="shared" si="66"/>
        <v>0</v>
      </c>
      <c r="L301" s="9">
        <v>0</v>
      </c>
      <c r="M301" s="9">
        <v>0</v>
      </c>
      <c r="N301" s="8">
        <f t="shared" si="67"/>
        <v>0</v>
      </c>
    </row>
    <row r="302" spans="1:14" ht="14.4" x14ac:dyDescent="0.3">
      <c r="A302" s="32">
        <f t="shared" si="63"/>
        <v>300</v>
      </c>
      <c r="B302" s="23" t="s">
        <v>250</v>
      </c>
      <c r="C302" s="8">
        <v>0</v>
      </c>
      <c r="D302" s="8">
        <v>0</v>
      </c>
      <c r="E302" s="8">
        <f t="shared" si="64"/>
        <v>0</v>
      </c>
      <c r="F302" s="9">
        <v>0</v>
      </c>
      <c r="G302" s="9">
        <v>0</v>
      </c>
      <c r="H302" s="8">
        <f t="shared" si="65"/>
        <v>0</v>
      </c>
      <c r="I302" s="9">
        <v>0</v>
      </c>
      <c r="J302" s="9">
        <v>0</v>
      </c>
      <c r="K302" s="8">
        <f t="shared" si="66"/>
        <v>0</v>
      </c>
      <c r="L302" s="9">
        <v>0</v>
      </c>
      <c r="M302" s="9">
        <v>0</v>
      </c>
      <c r="N302" s="8">
        <f t="shared" si="67"/>
        <v>0</v>
      </c>
    </row>
    <row r="303" spans="1:14" ht="14.4" x14ac:dyDescent="0.3">
      <c r="A303" s="32">
        <f t="shared" si="63"/>
        <v>301</v>
      </c>
      <c r="B303" s="23" t="s">
        <v>251</v>
      </c>
      <c r="C303" s="8">
        <v>0</v>
      </c>
      <c r="D303" s="8">
        <v>0</v>
      </c>
      <c r="E303" s="8">
        <f t="shared" si="64"/>
        <v>0</v>
      </c>
      <c r="F303" s="9">
        <v>0</v>
      </c>
      <c r="G303" s="9">
        <v>0</v>
      </c>
      <c r="H303" s="8">
        <f t="shared" si="65"/>
        <v>0</v>
      </c>
      <c r="I303" s="9">
        <v>0</v>
      </c>
      <c r="J303" s="9">
        <v>0</v>
      </c>
      <c r="K303" s="8">
        <f t="shared" si="66"/>
        <v>0</v>
      </c>
      <c r="L303" s="9">
        <v>0</v>
      </c>
      <c r="M303" s="9">
        <v>0</v>
      </c>
      <c r="N303" s="8">
        <f t="shared" si="67"/>
        <v>0</v>
      </c>
    </row>
    <row r="304" spans="1:14" ht="14.4" x14ac:dyDescent="0.3">
      <c r="A304" s="32">
        <f t="shared" si="63"/>
        <v>302</v>
      </c>
      <c r="B304" s="23" t="s">
        <v>252</v>
      </c>
      <c r="C304" s="8">
        <v>5610.5</v>
      </c>
      <c r="D304" s="8">
        <v>0</v>
      </c>
      <c r="E304" s="8">
        <f t="shared" si="64"/>
        <v>-5610.5</v>
      </c>
      <c r="F304" s="9">
        <v>2866.5</v>
      </c>
      <c r="G304" s="9">
        <v>0</v>
      </c>
      <c r="H304" s="8">
        <f t="shared" si="65"/>
        <v>-2866.5</v>
      </c>
      <c r="I304" s="9">
        <v>2272</v>
      </c>
      <c r="J304" s="9">
        <v>0</v>
      </c>
      <c r="K304" s="8">
        <f t="shared" si="66"/>
        <v>-2272</v>
      </c>
      <c r="L304" s="9">
        <v>181</v>
      </c>
      <c r="M304" s="9">
        <v>0</v>
      </c>
      <c r="N304" s="8">
        <f t="shared" si="67"/>
        <v>-181</v>
      </c>
    </row>
    <row r="305" spans="1:14" ht="14.4" x14ac:dyDescent="0.3">
      <c r="A305" s="32">
        <f t="shared" si="63"/>
        <v>303</v>
      </c>
      <c r="B305" s="23" t="s">
        <v>253</v>
      </c>
      <c r="C305" s="8">
        <v>17552</v>
      </c>
      <c r="D305" s="8">
        <v>0</v>
      </c>
      <c r="E305" s="8">
        <f t="shared" si="64"/>
        <v>-17552</v>
      </c>
      <c r="F305" s="9">
        <v>103780.14</v>
      </c>
      <c r="G305" s="9">
        <v>0</v>
      </c>
      <c r="H305" s="8">
        <f t="shared" si="65"/>
        <v>-103780.14</v>
      </c>
      <c r="I305" s="9">
        <v>13385</v>
      </c>
      <c r="J305" s="9">
        <v>0</v>
      </c>
      <c r="K305" s="8">
        <f t="shared" si="66"/>
        <v>-13385</v>
      </c>
      <c r="L305" s="9">
        <v>4030</v>
      </c>
      <c r="M305" s="9">
        <v>0</v>
      </c>
      <c r="N305" s="8">
        <f t="shared" si="67"/>
        <v>-4030</v>
      </c>
    </row>
    <row r="306" spans="1:14" ht="14.4" x14ac:dyDescent="0.3">
      <c r="A306" s="32">
        <f t="shared" si="63"/>
        <v>304</v>
      </c>
      <c r="B306" s="23" t="s">
        <v>254</v>
      </c>
      <c r="C306" s="8">
        <v>0</v>
      </c>
      <c r="D306" s="8">
        <v>0</v>
      </c>
      <c r="E306" s="8">
        <f t="shared" si="64"/>
        <v>0</v>
      </c>
      <c r="F306" s="9">
        <v>261938</v>
      </c>
      <c r="G306" s="9">
        <v>0</v>
      </c>
      <c r="H306" s="8">
        <f t="shared" si="65"/>
        <v>-261938</v>
      </c>
      <c r="I306" s="9">
        <v>120923</v>
      </c>
      <c r="J306" s="9">
        <v>0</v>
      </c>
      <c r="K306" s="8">
        <f t="shared" si="66"/>
        <v>-120923</v>
      </c>
      <c r="L306" s="9">
        <v>4093</v>
      </c>
      <c r="M306" s="9">
        <v>0</v>
      </c>
      <c r="N306" s="8">
        <f t="shared" si="67"/>
        <v>-4093</v>
      </c>
    </row>
    <row r="307" spans="1:14" ht="14.4" x14ac:dyDescent="0.3">
      <c r="A307" s="32">
        <f t="shared" si="63"/>
        <v>305</v>
      </c>
      <c r="B307" s="23" t="s">
        <v>255</v>
      </c>
      <c r="C307" s="8">
        <v>11052.42</v>
      </c>
      <c r="D307" s="8">
        <v>0</v>
      </c>
      <c r="E307" s="8">
        <f t="shared" si="64"/>
        <v>-11052.42</v>
      </c>
      <c r="F307" s="9">
        <v>7424</v>
      </c>
      <c r="G307" s="9">
        <v>0</v>
      </c>
      <c r="H307" s="8">
        <f t="shared" si="65"/>
        <v>-7424</v>
      </c>
      <c r="I307" s="9">
        <v>19011.5</v>
      </c>
      <c r="J307" s="9">
        <v>0</v>
      </c>
      <c r="K307" s="8">
        <f t="shared" si="66"/>
        <v>-19011.5</v>
      </c>
      <c r="L307" s="9">
        <v>6693</v>
      </c>
      <c r="M307" s="9">
        <v>0</v>
      </c>
      <c r="N307" s="8">
        <f t="shared" si="67"/>
        <v>-6693</v>
      </c>
    </row>
    <row r="308" spans="1:14" ht="14.4" x14ac:dyDescent="0.3">
      <c r="A308" s="32">
        <f t="shared" si="63"/>
        <v>306</v>
      </c>
      <c r="B308" s="23" t="s">
        <v>256</v>
      </c>
      <c r="C308" s="8">
        <v>27619.919999999998</v>
      </c>
      <c r="D308" s="8">
        <v>0</v>
      </c>
      <c r="E308" s="8">
        <f t="shared" si="64"/>
        <v>-27619.919999999998</v>
      </c>
      <c r="F308" s="9">
        <v>48314.47</v>
      </c>
      <c r="G308" s="9">
        <v>0</v>
      </c>
      <c r="H308" s="8">
        <f t="shared" si="65"/>
        <v>-48314.47</v>
      </c>
      <c r="I308" s="9">
        <v>5550</v>
      </c>
      <c r="J308" s="9">
        <v>0</v>
      </c>
      <c r="K308" s="8">
        <f t="shared" si="66"/>
        <v>-5550</v>
      </c>
      <c r="L308" s="9">
        <v>0</v>
      </c>
      <c r="M308" s="9">
        <v>0</v>
      </c>
      <c r="N308" s="8">
        <f t="shared" si="67"/>
        <v>0</v>
      </c>
    </row>
    <row r="309" spans="1:14" ht="14.4" x14ac:dyDescent="0.3">
      <c r="A309" s="32">
        <f t="shared" si="63"/>
        <v>307</v>
      </c>
      <c r="B309" s="23" t="s">
        <v>257</v>
      </c>
      <c r="C309" s="8">
        <v>5789.09</v>
      </c>
      <c r="D309" s="8">
        <v>0</v>
      </c>
      <c r="E309" s="8">
        <f t="shared" si="64"/>
        <v>-5789.09</v>
      </c>
      <c r="F309" s="9">
        <v>1450</v>
      </c>
      <c r="G309" s="9">
        <v>0</v>
      </c>
      <c r="H309" s="8">
        <f t="shared" si="65"/>
        <v>-1450</v>
      </c>
      <c r="I309" s="9">
        <v>2992.96</v>
      </c>
      <c r="J309" s="9">
        <v>0</v>
      </c>
      <c r="K309" s="8">
        <f t="shared" si="66"/>
        <v>-2992.96</v>
      </c>
      <c r="L309" s="9">
        <v>3246.47</v>
      </c>
      <c r="M309" s="9">
        <v>0</v>
      </c>
      <c r="N309" s="8">
        <f t="shared" si="67"/>
        <v>-3246.47</v>
      </c>
    </row>
    <row r="310" spans="1:14" ht="14.4" x14ac:dyDescent="0.3">
      <c r="A310" s="32">
        <f t="shared" si="63"/>
        <v>308</v>
      </c>
      <c r="B310" s="23" t="s">
        <v>258</v>
      </c>
      <c r="C310" s="8">
        <v>0</v>
      </c>
      <c r="D310" s="8">
        <v>0</v>
      </c>
      <c r="E310" s="8">
        <f t="shared" si="64"/>
        <v>0</v>
      </c>
      <c r="F310" s="9">
        <v>0</v>
      </c>
      <c r="G310" s="9">
        <v>0</v>
      </c>
      <c r="H310" s="8">
        <f t="shared" si="65"/>
        <v>0</v>
      </c>
      <c r="I310" s="9">
        <v>3723459</v>
      </c>
      <c r="J310" s="9">
        <v>0</v>
      </c>
      <c r="K310" s="8">
        <f t="shared" si="66"/>
        <v>-3723459</v>
      </c>
      <c r="L310" s="9">
        <v>0</v>
      </c>
      <c r="M310" s="9">
        <v>0</v>
      </c>
      <c r="N310" s="8">
        <f t="shared" si="67"/>
        <v>0</v>
      </c>
    </row>
    <row r="311" spans="1:14" ht="14.4" x14ac:dyDescent="0.3">
      <c r="A311" s="32">
        <f t="shared" si="63"/>
        <v>309</v>
      </c>
      <c r="B311" s="27" t="s">
        <v>259</v>
      </c>
      <c r="C311" s="8">
        <v>0</v>
      </c>
      <c r="D311" s="8">
        <v>0</v>
      </c>
      <c r="E311" s="8">
        <f t="shared" si="64"/>
        <v>0</v>
      </c>
      <c r="F311" s="9">
        <v>0</v>
      </c>
      <c r="G311" s="9">
        <v>0</v>
      </c>
      <c r="H311" s="8">
        <f t="shared" si="65"/>
        <v>0</v>
      </c>
      <c r="I311" s="9">
        <v>0</v>
      </c>
      <c r="J311" s="9">
        <v>0</v>
      </c>
      <c r="K311" s="8">
        <f t="shared" si="66"/>
        <v>0</v>
      </c>
      <c r="L311" s="9">
        <v>0</v>
      </c>
      <c r="M311" s="9">
        <v>0</v>
      </c>
      <c r="N311" s="8">
        <f t="shared" si="67"/>
        <v>0</v>
      </c>
    </row>
    <row r="312" spans="1:14" ht="14.4" x14ac:dyDescent="0.3">
      <c r="A312" s="32">
        <f t="shared" si="63"/>
        <v>310</v>
      </c>
      <c r="B312" s="23" t="s">
        <v>260</v>
      </c>
      <c r="C312" s="8">
        <v>0</v>
      </c>
      <c r="D312" s="8">
        <v>0</v>
      </c>
      <c r="E312" s="8">
        <f t="shared" si="64"/>
        <v>0</v>
      </c>
      <c r="F312" s="9">
        <v>0</v>
      </c>
      <c r="G312" s="9">
        <v>0</v>
      </c>
      <c r="H312" s="8">
        <f t="shared" si="65"/>
        <v>0</v>
      </c>
      <c r="I312" s="9">
        <v>0</v>
      </c>
      <c r="J312" s="9">
        <v>0</v>
      </c>
      <c r="K312" s="8">
        <f t="shared" si="66"/>
        <v>0</v>
      </c>
      <c r="L312" s="9">
        <v>0</v>
      </c>
      <c r="M312" s="9">
        <v>0</v>
      </c>
      <c r="N312" s="8">
        <f t="shared" si="67"/>
        <v>0</v>
      </c>
    </row>
    <row r="313" spans="1:14" ht="14.4" x14ac:dyDescent="0.3">
      <c r="A313" s="32">
        <f t="shared" si="63"/>
        <v>311</v>
      </c>
      <c r="B313" s="23" t="s">
        <v>261</v>
      </c>
      <c r="C313" s="8">
        <v>0</v>
      </c>
      <c r="D313" s="8">
        <v>0</v>
      </c>
      <c r="E313" s="8">
        <f t="shared" si="64"/>
        <v>0</v>
      </c>
      <c r="F313" s="9">
        <v>0</v>
      </c>
      <c r="G313" s="9">
        <v>0</v>
      </c>
      <c r="H313" s="8">
        <f t="shared" si="65"/>
        <v>0</v>
      </c>
      <c r="I313" s="9">
        <v>0</v>
      </c>
      <c r="J313" s="9">
        <v>16081800</v>
      </c>
      <c r="K313" s="8">
        <f t="shared" si="66"/>
        <v>16081800</v>
      </c>
      <c r="L313" s="9">
        <v>0</v>
      </c>
      <c r="M313" s="9">
        <v>0</v>
      </c>
      <c r="N313" s="8">
        <f t="shared" si="67"/>
        <v>0</v>
      </c>
    </row>
    <row r="314" spans="1:14" ht="14.4" x14ac:dyDescent="0.3">
      <c r="A314" s="32">
        <f t="shared" si="63"/>
        <v>312</v>
      </c>
      <c r="B314" s="23" t="s">
        <v>262</v>
      </c>
      <c r="C314" s="8">
        <v>0</v>
      </c>
      <c r="D314" s="8">
        <v>0</v>
      </c>
      <c r="E314" s="8">
        <f t="shared" si="64"/>
        <v>0</v>
      </c>
      <c r="F314" s="9">
        <v>17928</v>
      </c>
      <c r="G314" s="9">
        <v>0</v>
      </c>
      <c r="H314" s="8">
        <f t="shared" si="65"/>
        <v>-17928</v>
      </c>
      <c r="I314" s="9">
        <v>233163</v>
      </c>
      <c r="J314" s="9">
        <v>0</v>
      </c>
      <c r="K314" s="8">
        <f t="shared" si="66"/>
        <v>-233163</v>
      </c>
      <c r="L314" s="9">
        <v>0</v>
      </c>
      <c r="M314" s="9">
        <v>0</v>
      </c>
      <c r="N314" s="8">
        <f t="shared" si="67"/>
        <v>0</v>
      </c>
    </row>
    <row r="315" spans="1:14" ht="14.4" x14ac:dyDescent="0.3">
      <c r="A315" s="32">
        <f t="shared" si="63"/>
        <v>313</v>
      </c>
      <c r="B315" s="25" t="s">
        <v>263</v>
      </c>
      <c r="C315" s="14">
        <f t="shared" ref="C315:D315" si="68">SUM(C225:C314)</f>
        <v>5444514.5899999989</v>
      </c>
      <c r="D315" s="14">
        <f t="shared" si="68"/>
        <v>5260.23</v>
      </c>
      <c r="E315" s="14">
        <f>SUM(E225:E314)</f>
        <v>-5439254.3599999994</v>
      </c>
      <c r="F315" s="14">
        <f t="shared" ref="F315" si="69">SUM(F225:F314)</f>
        <v>5536198.6199999992</v>
      </c>
      <c r="G315" s="14">
        <f t="shared" ref="G315" si="70">SUM(G225:G314)</f>
        <v>0</v>
      </c>
      <c r="H315" s="14">
        <f>SUM(H225:H314)</f>
        <v>-5536198.6199999992</v>
      </c>
      <c r="I315" s="14">
        <f t="shared" ref="I315" si="71">SUM(I225:I314)</f>
        <v>11979592.359999999</v>
      </c>
      <c r="J315" s="14">
        <f t="shared" ref="J315" si="72">SUM(J225:J314)</f>
        <v>18700481</v>
      </c>
      <c r="K315" s="14">
        <f>SUM(K225:K314)</f>
        <v>6720888.6400000006</v>
      </c>
      <c r="L315" s="14">
        <f t="shared" ref="L315" si="73">SUM(L225:L314)</f>
        <v>1198585.7000000002</v>
      </c>
      <c r="M315" s="14">
        <f t="shared" ref="M315" si="74">SUM(M225:M314)</f>
        <v>19452045.199999999</v>
      </c>
      <c r="N315" s="14">
        <f>SUM(N225:N314)</f>
        <v>18253459.5</v>
      </c>
    </row>
    <row r="316" spans="1:14" ht="14.4" x14ac:dyDescent="0.3">
      <c r="A316" s="32">
        <f t="shared" si="63"/>
        <v>314</v>
      </c>
      <c r="B316" s="23"/>
      <c r="C316" s="8"/>
      <c r="D316" s="8"/>
      <c r="E316" s="8"/>
      <c r="F316" s="9">
        <v>0</v>
      </c>
      <c r="G316" s="9">
        <v>0</v>
      </c>
      <c r="H316" s="9"/>
      <c r="I316" s="9">
        <v>0</v>
      </c>
      <c r="J316" s="9">
        <v>0</v>
      </c>
      <c r="K316" s="9"/>
      <c r="L316" s="9">
        <v>0</v>
      </c>
      <c r="M316" s="9">
        <v>0</v>
      </c>
      <c r="N316" s="9"/>
    </row>
    <row r="317" spans="1:14" ht="14.4" x14ac:dyDescent="0.3">
      <c r="A317" s="32">
        <f t="shared" si="63"/>
        <v>315</v>
      </c>
      <c r="B317" s="23"/>
      <c r="C317" s="8"/>
      <c r="D317" s="8"/>
      <c r="E317" s="8"/>
      <c r="F317" s="9"/>
      <c r="G317" s="9"/>
      <c r="H317" s="9"/>
      <c r="I317" s="9"/>
      <c r="J317" s="9"/>
      <c r="K317" s="9"/>
      <c r="L317" s="9"/>
      <c r="M317" s="9"/>
      <c r="N317" s="9"/>
    </row>
    <row r="318" spans="1:14" ht="14.4" x14ac:dyDescent="0.3">
      <c r="A318" s="32">
        <f t="shared" si="63"/>
        <v>316</v>
      </c>
      <c r="B318" s="26" t="s">
        <v>333</v>
      </c>
      <c r="C318" s="18"/>
      <c r="D318" s="18"/>
      <c r="E318" s="18">
        <f>E182+E191+E223+E315</f>
        <v>-111403799.30999997</v>
      </c>
      <c r="F318" s="18"/>
      <c r="G318" s="18"/>
      <c r="H318" s="18">
        <f>H182+H191+H223+H315</f>
        <v>-91306389.870000005</v>
      </c>
      <c r="I318" s="18"/>
      <c r="J318" s="18"/>
      <c r="K318" s="18">
        <f>K182+K191+K223+K315</f>
        <v>-110229023.24999999</v>
      </c>
      <c r="L318" s="18"/>
      <c r="M318" s="18"/>
      <c r="N318" s="18">
        <f>N182+N191+N223+N315</f>
        <v>-56307298.140000001</v>
      </c>
    </row>
    <row r="319" spans="1:14" ht="14.4" x14ac:dyDescent="0.3">
      <c r="A319" s="32">
        <f t="shared" si="63"/>
        <v>317</v>
      </c>
      <c r="B319" s="23"/>
      <c r="C319" s="8"/>
      <c r="D319" s="8"/>
      <c r="E319" s="8"/>
      <c r="F319" s="9"/>
      <c r="G319" s="9"/>
      <c r="H319" s="9"/>
      <c r="I319" s="9"/>
      <c r="J319" s="9"/>
      <c r="K319" s="9"/>
      <c r="L319" s="9"/>
      <c r="M319" s="9"/>
      <c r="N319" s="9"/>
    </row>
    <row r="320" spans="1:14" ht="14.4" x14ac:dyDescent="0.3">
      <c r="A320" s="32">
        <f t="shared" si="63"/>
        <v>318</v>
      </c>
      <c r="B320" s="25" t="s">
        <v>264</v>
      </c>
      <c r="C320" s="15"/>
      <c r="D320" s="15"/>
      <c r="E320" s="14">
        <f>E87+E318</f>
        <v>3164797.7800000161</v>
      </c>
      <c r="F320" s="15"/>
      <c r="G320" s="15"/>
      <c r="H320" s="14">
        <f>H87+H318</f>
        <v>20141471.530000001</v>
      </c>
      <c r="I320" s="15"/>
      <c r="J320" s="15"/>
      <c r="K320" s="14">
        <f>K87+K318</f>
        <v>9489366.4799999893</v>
      </c>
      <c r="L320" s="15"/>
      <c r="M320" s="15"/>
      <c r="N320" s="14">
        <f>N87+N318</f>
        <v>62761576.679999992</v>
      </c>
    </row>
    <row r="321" spans="1:14" ht="14.4" x14ac:dyDescent="0.3">
      <c r="A321" s="32">
        <f t="shared" si="63"/>
        <v>319</v>
      </c>
      <c r="B321" s="23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</row>
    <row r="322" spans="1:14" ht="14.4" x14ac:dyDescent="0.3">
      <c r="A322" s="32">
        <f t="shared" si="63"/>
        <v>320</v>
      </c>
      <c r="B322" s="23" t="s">
        <v>265</v>
      </c>
      <c r="C322" s="8">
        <v>2977555</v>
      </c>
      <c r="D322" s="8">
        <v>0</v>
      </c>
      <c r="E322" s="8">
        <f t="shared" ref="E322:E324" si="75">-C322+D322</f>
        <v>-2977555</v>
      </c>
      <c r="F322" s="8">
        <v>2977555</v>
      </c>
      <c r="G322" s="8">
        <v>0</v>
      </c>
      <c r="H322" s="8">
        <f t="shared" ref="H322:H324" si="76">-F322+G322</f>
        <v>-2977555</v>
      </c>
      <c r="I322" s="8">
        <v>2977555</v>
      </c>
      <c r="J322" s="8">
        <v>0</v>
      </c>
      <c r="K322" s="8">
        <f t="shared" ref="K322:K324" si="77">-I322+J322</f>
        <v>-2977555</v>
      </c>
      <c r="L322" s="8">
        <v>2977555</v>
      </c>
      <c r="M322" s="8">
        <v>0</v>
      </c>
      <c r="N322" s="8">
        <f t="shared" ref="N322:N324" si="78">-L322+M322</f>
        <v>-2977555</v>
      </c>
    </row>
    <row r="323" spans="1:14" ht="14.4" x14ac:dyDescent="0.3">
      <c r="A323" s="32">
        <f t="shared" si="63"/>
        <v>321</v>
      </c>
      <c r="B323" s="23" t="s">
        <v>266</v>
      </c>
      <c r="C323" s="8">
        <v>0</v>
      </c>
      <c r="D323" s="8">
        <v>0</v>
      </c>
      <c r="E323" s="8">
        <f t="shared" si="75"/>
        <v>0</v>
      </c>
      <c r="F323" s="8">
        <v>0</v>
      </c>
      <c r="G323" s="8">
        <v>0</v>
      </c>
      <c r="H323" s="8">
        <f t="shared" si="76"/>
        <v>0</v>
      </c>
      <c r="I323" s="8">
        <v>0</v>
      </c>
      <c r="J323" s="8">
        <v>0</v>
      </c>
      <c r="K323" s="8">
        <f t="shared" si="77"/>
        <v>0</v>
      </c>
      <c r="L323" s="8">
        <v>0</v>
      </c>
      <c r="M323" s="8">
        <v>0</v>
      </c>
      <c r="N323" s="8">
        <f t="shared" si="78"/>
        <v>0</v>
      </c>
    </row>
    <row r="324" spans="1:14" ht="14.4" x14ac:dyDescent="0.3">
      <c r="A324" s="32">
        <f t="shared" si="63"/>
        <v>322</v>
      </c>
      <c r="B324" s="17" t="s">
        <v>320</v>
      </c>
      <c r="C324" s="8">
        <v>0</v>
      </c>
      <c r="D324" s="8">
        <v>0</v>
      </c>
      <c r="E324" s="8">
        <f t="shared" si="75"/>
        <v>0</v>
      </c>
      <c r="F324" s="8">
        <v>0</v>
      </c>
      <c r="G324" s="8">
        <v>0</v>
      </c>
      <c r="H324" s="8">
        <f t="shared" si="76"/>
        <v>0</v>
      </c>
      <c r="I324" s="8">
        <v>0</v>
      </c>
      <c r="J324" s="8">
        <v>0</v>
      </c>
      <c r="K324" s="8">
        <f t="shared" si="77"/>
        <v>0</v>
      </c>
      <c r="L324" s="8">
        <v>0</v>
      </c>
      <c r="M324" s="8">
        <v>0</v>
      </c>
      <c r="N324" s="8">
        <f t="shared" si="78"/>
        <v>0</v>
      </c>
    </row>
    <row r="325" spans="1:14" ht="14.4" x14ac:dyDescent="0.3">
      <c r="A325" s="32">
        <f t="shared" ref="A325:A343" si="79">A324+1</f>
        <v>323</v>
      </c>
      <c r="B325" s="25" t="s">
        <v>267</v>
      </c>
      <c r="C325" s="15">
        <v>0</v>
      </c>
      <c r="D325" s="15">
        <v>0</v>
      </c>
      <c r="E325" s="14">
        <f>SUM(E322:E324)</f>
        <v>-2977555</v>
      </c>
      <c r="F325" s="15">
        <v>0</v>
      </c>
      <c r="G325" s="15">
        <v>0</v>
      </c>
      <c r="H325" s="14">
        <f>SUM(H322:H324)</f>
        <v>-2977555</v>
      </c>
      <c r="I325" s="15">
        <v>0</v>
      </c>
      <c r="J325" s="15">
        <v>0</v>
      </c>
      <c r="K325" s="14">
        <f>SUM(K322:K324)</f>
        <v>-2977555</v>
      </c>
      <c r="L325" s="15">
        <v>0</v>
      </c>
      <c r="M325" s="15">
        <v>0</v>
      </c>
      <c r="N325" s="14">
        <f>SUM(N322:N324)</f>
        <v>-2977555</v>
      </c>
    </row>
    <row r="326" spans="1:14" ht="14.4" x14ac:dyDescent="0.3">
      <c r="A326" s="32">
        <f t="shared" si="79"/>
        <v>324</v>
      </c>
      <c r="B326" s="23"/>
      <c r="C326" s="8">
        <v>0</v>
      </c>
      <c r="D326" s="8">
        <v>0</v>
      </c>
      <c r="E326" s="8"/>
      <c r="F326" s="8">
        <v>0</v>
      </c>
      <c r="G326" s="8">
        <v>0</v>
      </c>
      <c r="H326" s="8"/>
      <c r="I326" s="8">
        <v>0</v>
      </c>
      <c r="J326" s="8">
        <v>0</v>
      </c>
      <c r="K326" s="8"/>
      <c r="L326" s="8">
        <v>0</v>
      </c>
      <c r="M326" s="8">
        <v>0</v>
      </c>
      <c r="N326" s="8"/>
    </row>
    <row r="327" spans="1:14" ht="14.4" x14ac:dyDescent="0.3">
      <c r="A327" s="32">
        <f t="shared" si="79"/>
        <v>325</v>
      </c>
      <c r="B327" s="25" t="s">
        <v>268</v>
      </c>
      <c r="C327" s="14">
        <v>0</v>
      </c>
      <c r="D327" s="14">
        <v>0</v>
      </c>
      <c r="E327" s="14">
        <f>E320+E325</f>
        <v>187242.78000001609</v>
      </c>
      <c r="F327" s="14">
        <v>0</v>
      </c>
      <c r="G327" s="14">
        <v>0</v>
      </c>
      <c r="H327" s="14">
        <f>H320+H325</f>
        <v>17163916.530000001</v>
      </c>
      <c r="I327" s="14">
        <v>0</v>
      </c>
      <c r="J327" s="14">
        <v>0</v>
      </c>
      <c r="K327" s="14">
        <f>K320+K325</f>
        <v>6511811.4799999893</v>
      </c>
      <c r="L327" s="14">
        <v>0</v>
      </c>
      <c r="M327" s="14">
        <v>0</v>
      </c>
      <c r="N327" s="14">
        <f>N320+N325</f>
        <v>59784021.679999992</v>
      </c>
    </row>
    <row r="328" spans="1:14" ht="14.4" x14ac:dyDescent="0.3">
      <c r="A328" s="32">
        <f t="shared" si="79"/>
        <v>326</v>
      </c>
      <c r="B328" s="23" t="s">
        <v>269</v>
      </c>
      <c r="C328" s="8">
        <v>0</v>
      </c>
      <c r="D328" s="8">
        <v>0</v>
      </c>
      <c r="E328" s="8">
        <f t="shared" ref="E328:E329" si="80">-C328+D328</f>
        <v>0</v>
      </c>
      <c r="F328" s="8">
        <v>0</v>
      </c>
      <c r="G328" s="8">
        <v>0</v>
      </c>
      <c r="H328" s="8">
        <f t="shared" ref="H328:H329" si="81">-F328+G328</f>
        <v>0</v>
      </c>
      <c r="I328" s="8">
        <v>0</v>
      </c>
      <c r="J328" s="8">
        <v>0</v>
      </c>
      <c r="K328" s="8">
        <f t="shared" ref="K328:K329" si="82">-I328+J328</f>
        <v>0</v>
      </c>
      <c r="L328" s="8">
        <v>0</v>
      </c>
      <c r="M328" s="8">
        <v>0</v>
      </c>
      <c r="N328" s="8">
        <f t="shared" ref="N328:N329" si="83">-L328+M328</f>
        <v>0</v>
      </c>
    </row>
    <row r="329" spans="1:14" ht="14.4" x14ac:dyDescent="0.3">
      <c r="A329" s="32">
        <f t="shared" si="79"/>
        <v>327</v>
      </c>
      <c r="B329" s="17" t="s">
        <v>321</v>
      </c>
      <c r="C329" s="8">
        <v>0</v>
      </c>
      <c r="D329" s="8">
        <v>0</v>
      </c>
      <c r="E329" s="8">
        <f t="shared" si="80"/>
        <v>0</v>
      </c>
      <c r="F329" s="8">
        <v>0</v>
      </c>
      <c r="G329" s="8">
        <v>0</v>
      </c>
      <c r="H329" s="8">
        <f t="shared" si="81"/>
        <v>0</v>
      </c>
      <c r="I329" s="8">
        <v>0</v>
      </c>
      <c r="J329" s="8">
        <v>0</v>
      </c>
      <c r="K329" s="8">
        <f t="shared" si="82"/>
        <v>0</v>
      </c>
      <c r="L329" s="8">
        <v>0</v>
      </c>
      <c r="M329" s="8">
        <v>0</v>
      </c>
      <c r="N329" s="8">
        <f t="shared" si="83"/>
        <v>0</v>
      </c>
    </row>
    <row r="330" spans="1:14" ht="14.4" x14ac:dyDescent="0.3">
      <c r="A330" s="32">
        <f t="shared" si="79"/>
        <v>328</v>
      </c>
      <c r="B330" s="25" t="s">
        <v>273</v>
      </c>
      <c r="C330" s="15">
        <v>0</v>
      </c>
      <c r="D330" s="15">
        <v>0</v>
      </c>
      <c r="E330" s="14">
        <f>SUM(E328:E329)</f>
        <v>0</v>
      </c>
      <c r="F330" s="15">
        <v>0</v>
      </c>
      <c r="G330" s="15">
        <v>0</v>
      </c>
      <c r="H330" s="14">
        <f>SUM(H328:H329)</f>
        <v>0</v>
      </c>
      <c r="I330" s="15">
        <v>0</v>
      </c>
      <c r="J330" s="15">
        <v>0</v>
      </c>
      <c r="K330" s="14">
        <f>SUM(K328:K329)</f>
        <v>0</v>
      </c>
      <c r="L330" s="15">
        <v>0</v>
      </c>
      <c r="M330" s="15">
        <v>0</v>
      </c>
      <c r="N330" s="14">
        <f>SUM(N328:N329)</f>
        <v>0</v>
      </c>
    </row>
    <row r="331" spans="1:14" ht="14.4" x14ac:dyDescent="0.3">
      <c r="A331" s="32">
        <f t="shared" si="79"/>
        <v>329</v>
      </c>
      <c r="B331" s="23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</row>
    <row r="332" spans="1:14" ht="14.4" x14ac:dyDescent="0.3">
      <c r="A332" s="32">
        <f t="shared" si="79"/>
        <v>330</v>
      </c>
      <c r="B332" s="23" t="s">
        <v>274</v>
      </c>
      <c r="C332" s="8">
        <v>0</v>
      </c>
      <c r="D332" s="8">
        <v>0</v>
      </c>
      <c r="E332" s="8">
        <f t="shared" ref="E332:E336" si="84">-C332+D332</f>
        <v>0</v>
      </c>
      <c r="F332" s="8">
        <v>0</v>
      </c>
      <c r="G332" s="8">
        <v>0</v>
      </c>
      <c r="H332" s="8">
        <f t="shared" ref="H332:H336" si="85">-F332+G332</f>
        <v>0</v>
      </c>
      <c r="I332" s="8">
        <v>0</v>
      </c>
      <c r="J332" s="8">
        <v>0</v>
      </c>
      <c r="K332" s="8">
        <f t="shared" ref="K332:K336" si="86">-I332+J332</f>
        <v>0</v>
      </c>
      <c r="L332" s="8">
        <v>0</v>
      </c>
      <c r="M332" s="8">
        <v>0</v>
      </c>
      <c r="N332" s="8">
        <f t="shared" ref="N332:N336" si="87">-L332+M332</f>
        <v>0</v>
      </c>
    </row>
    <row r="333" spans="1:14" ht="14.4" x14ac:dyDescent="0.3">
      <c r="A333" s="32">
        <f t="shared" si="79"/>
        <v>331</v>
      </c>
      <c r="B333" s="23" t="s">
        <v>275</v>
      </c>
      <c r="C333" s="8">
        <v>0</v>
      </c>
      <c r="D333" s="8">
        <v>0</v>
      </c>
      <c r="E333" s="8">
        <f t="shared" si="84"/>
        <v>0</v>
      </c>
      <c r="F333" s="8">
        <v>0</v>
      </c>
      <c r="G333" s="8">
        <v>0</v>
      </c>
      <c r="H333" s="8">
        <f t="shared" si="85"/>
        <v>0</v>
      </c>
      <c r="I333" s="8">
        <v>0</v>
      </c>
      <c r="J333" s="8">
        <v>0</v>
      </c>
      <c r="K333" s="8">
        <f t="shared" si="86"/>
        <v>0</v>
      </c>
      <c r="L333" s="8">
        <v>0</v>
      </c>
      <c r="M333" s="8">
        <v>0</v>
      </c>
      <c r="N333" s="8">
        <f t="shared" si="87"/>
        <v>0</v>
      </c>
    </row>
    <row r="334" spans="1:14" ht="14.4" x14ac:dyDescent="0.3">
      <c r="A334" s="32">
        <f t="shared" si="79"/>
        <v>332</v>
      </c>
      <c r="B334" s="23" t="s">
        <v>276</v>
      </c>
      <c r="C334" s="8">
        <v>437086.73</v>
      </c>
      <c r="D334" s="8">
        <v>0</v>
      </c>
      <c r="E334" s="8">
        <f t="shared" si="84"/>
        <v>-437086.73</v>
      </c>
      <c r="F334" s="8">
        <v>437086.73</v>
      </c>
      <c r="G334" s="8">
        <v>0</v>
      </c>
      <c r="H334" s="8">
        <f t="shared" si="85"/>
        <v>-437086.73</v>
      </c>
      <c r="I334" s="8">
        <v>437086.73</v>
      </c>
      <c r="J334" s="8">
        <v>0</v>
      </c>
      <c r="K334" s="8">
        <f t="shared" si="86"/>
        <v>-437086.73</v>
      </c>
      <c r="L334" s="8">
        <v>437086.73</v>
      </c>
      <c r="M334" s="8">
        <v>0</v>
      </c>
      <c r="N334" s="8">
        <f t="shared" si="87"/>
        <v>-437086.73</v>
      </c>
    </row>
    <row r="335" spans="1:14" ht="14.4" x14ac:dyDescent="0.3">
      <c r="A335" s="32">
        <f t="shared" si="79"/>
        <v>333</v>
      </c>
      <c r="B335" s="17" t="s">
        <v>324</v>
      </c>
      <c r="C335" s="8">
        <v>145541.04</v>
      </c>
      <c r="D335" s="8">
        <v>0</v>
      </c>
      <c r="E335" s="8">
        <f t="shared" si="84"/>
        <v>-145541.04</v>
      </c>
      <c r="F335" s="8">
        <v>145541.04</v>
      </c>
      <c r="G335" s="8">
        <v>0</v>
      </c>
      <c r="H335" s="8">
        <f t="shared" si="85"/>
        <v>-145541.04</v>
      </c>
      <c r="I335" s="8">
        <v>145541.04</v>
      </c>
      <c r="J335" s="8">
        <v>0</v>
      </c>
      <c r="K335" s="8">
        <f t="shared" si="86"/>
        <v>-145541.04</v>
      </c>
      <c r="L335" s="8">
        <v>145541.04</v>
      </c>
      <c r="M335" s="8">
        <v>0</v>
      </c>
      <c r="N335" s="8">
        <f t="shared" si="87"/>
        <v>-145541.04</v>
      </c>
    </row>
    <row r="336" spans="1:14" ht="14.4" x14ac:dyDescent="0.3">
      <c r="A336" s="32">
        <f t="shared" si="79"/>
        <v>334</v>
      </c>
      <c r="B336" s="23" t="s">
        <v>277</v>
      </c>
      <c r="C336" s="8">
        <v>0</v>
      </c>
      <c r="D336" s="8">
        <v>0</v>
      </c>
      <c r="E336" s="8">
        <f t="shared" si="84"/>
        <v>0</v>
      </c>
      <c r="F336" s="8">
        <v>0</v>
      </c>
      <c r="G336" s="8">
        <v>0</v>
      </c>
      <c r="H336" s="8">
        <f t="shared" si="85"/>
        <v>0</v>
      </c>
      <c r="I336" s="8">
        <v>0</v>
      </c>
      <c r="J336" s="8">
        <v>0</v>
      </c>
      <c r="K336" s="8">
        <f t="shared" si="86"/>
        <v>0</v>
      </c>
      <c r="L336" s="8">
        <v>0</v>
      </c>
      <c r="M336" s="8">
        <v>0</v>
      </c>
      <c r="N336" s="8">
        <f t="shared" si="87"/>
        <v>0</v>
      </c>
    </row>
    <row r="337" spans="1:14" ht="14.4" x14ac:dyDescent="0.3">
      <c r="A337" s="32">
        <f t="shared" si="79"/>
        <v>335</v>
      </c>
      <c r="B337" s="30" t="s">
        <v>334</v>
      </c>
      <c r="C337" s="14">
        <f t="shared" ref="C337:D337" si="88">SUM(C332:C336)</f>
        <v>582627.77</v>
      </c>
      <c r="D337" s="14">
        <f t="shared" si="88"/>
        <v>0</v>
      </c>
      <c r="E337" s="14">
        <f>SUM(E332:E336)</f>
        <v>-582627.77</v>
      </c>
      <c r="F337" s="14">
        <f t="shared" ref="F337" si="89">SUM(F332:F336)</f>
        <v>582627.77</v>
      </c>
      <c r="G337" s="14">
        <f t="shared" ref="G337" si="90">SUM(G332:G336)</f>
        <v>0</v>
      </c>
      <c r="H337" s="14">
        <f>SUM(H332:H336)</f>
        <v>-582627.77</v>
      </c>
      <c r="I337" s="14">
        <f t="shared" ref="I337" si="91">SUM(I332:I336)</f>
        <v>582627.77</v>
      </c>
      <c r="J337" s="14">
        <f t="shared" ref="J337" si="92">SUM(J332:J336)</f>
        <v>0</v>
      </c>
      <c r="K337" s="14">
        <f>SUM(K332:K336)</f>
        <v>-582627.77</v>
      </c>
      <c r="L337" s="14">
        <f t="shared" ref="L337" si="93">SUM(L332:L336)</f>
        <v>582627.77</v>
      </c>
      <c r="M337" s="14">
        <f t="shared" ref="M337" si="94">SUM(M332:M336)</f>
        <v>0</v>
      </c>
      <c r="N337" s="14">
        <f>SUM(N332:N336)</f>
        <v>-582627.77</v>
      </c>
    </row>
    <row r="338" spans="1:14" ht="14.4" x14ac:dyDescent="0.3">
      <c r="A338" s="32">
        <f t="shared" si="79"/>
        <v>336</v>
      </c>
      <c r="B338" s="31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</row>
    <row r="339" spans="1:14" ht="14.4" x14ac:dyDescent="0.3">
      <c r="A339" s="32">
        <f t="shared" si="79"/>
        <v>337</v>
      </c>
      <c r="B339" s="31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</row>
    <row r="340" spans="1:14" ht="14.4" x14ac:dyDescent="0.3">
      <c r="A340" s="32">
        <f t="shared" si="79"/>
        <v>338</v>
      </c>
      <c r="B340" s="25" t="s">
        <v>270</v>
      </c>
      <c r="C340" s="15"/>
      <c r="D340" s="15"/>
      <c r="E340" s="14">
        <f>E327+E330+E337</f>
        <v>-395384.98999998393</v>
      </c>
      <c r="F340" s="15"/>
      <c r="G340" s="15"/>
      <c r="H340" s="14">
        <f>H327+H330+H337</f>
        <v>16581288.760000002</v>
      </c>
      <c r="I340" s="15"/>
      <c r="J340" s="15"/>
      <c r="K340" s="14">
        <f>K327+K330+K337</f>
        <v>5929183.7099999897</v>
      </c>
      <c r="L340" s="15"/>
      <c r="M340" s="15"/>
      <c r="N340" s="14">
        <f>N327+N330+N337</f>
        <v>59201393.909999989</v>
      </c>
    </row>
    <row r="341" spans="1:14" ht="14.4" x14ac:dyDescent="0.3">
      <c r="A341" s="32">
        <f t="shared" si="79"/>
        <v>339</v>
      </c>
      <c r="B341" s="23"/>
      <c r="C341" s="8">
        <v>0</v>
      </c>
      <c r="D341" s="8">
        <v>0</v>
      </c>
      <c r="E341" s="8"/>
      <c r="F341" s="8">
        <v>0</v>
      </c>
      <c r="G341" s="8">
        <v>0</v>
      </c>
      <c r="H341" s="8"/>
      <c r="I341" s="8">
        <v>0</v>
      </c>
      <c r="J341" s="8">
        <v>0</v>
      </c>
      <c r="K341" s="8"/>
      <c r="L341" s="8">
        <v>0</v>
      </c>
      <c r="M341" s="8">
        <v>0</v>
      </c>
      <c r="N341" s="8"/>
    </row>
    <row r="342" spans="1:14" ht="14.4" x14ac:dyDescent="0.3">
      <c r="A342" s="32">
        <f t="shared" si="79"/>
        <v>340</v>
      </c>
      <c r="B342" s="17" t="s">
        <v>323</v>
      </c>
      <c r="C342" s="8">
        <v>0</v>
      </c>
      <c r="D342" s="8">
        <v>0</v>
      </c>
      <c r="E342" s="8">
        <f t="shared" ref="E342" si="95">-C342+D342</f>
        <v>0</v>
      </c>
      <c r="F342" s="8">
        <v>0</v>
      </c>
      <c r="G342" s="8">
        <v>0</v>
      </c>
      <c r="H342" s="8">
        <f t="shared" ref="H342" si="96">-F342+G342</f>
        <v>0</v>
      </c>
      <c r="I342" s="8">
        <v>0</v>
      </c>
      <c r="J342" s="8">
        <v>0</v>
      </c>
      <c r="K342" s="8">
        <f t="shared" ref="K342" si="97">-I342+J342</f>
        <v>0</v>
      </c>
      <c r="L342" s="8">
        <v>0</v>
      </c>
      <c r="M342" s="8">
        <v>0</v>
      </c>
      <c r="N342" s="8">
        <f t="shared" ref="N342" si="98">-L342+M342</f>
        <v>0</v>
      </c>
    </row>
    <row r="343" spans="1:14" ht="14.4" x14ac:dyDescent="0.3">
      <c r="A343" s="32">
        <f t="shared" si="79"/>
        <v>341</v>
      </c>
      <c r="B343" s="25" t="s">
        <v>272</v>
      </c>
      <c r="C343" s="15">
        <v>0</v>
      </c>
      <c r="D343" s="15">
        <v>0</v>
      </c>
      <c r="E343" s="14">
        <f>E340+E342</f>
        <v>-395384.98999998393</v>
      </c>
      <c r="F343" s="15">
        <v>0</v>
      </c>
      <c r="G343" s="15">
        <v>0</v>
      </c>
      <c r="H343" s="14">
        <f>H340+H342</f>
        <v>16581288.760000002</v>
      </c>
      <c r="I343" s="15">
        <v>0</v>
      </c>
      <c r="J343" s="15">
        <v>0</v>
      </c>
      <c r="K343" s="14">
        <f>K340+K342</f>
        <v>5929183.7099999897</v>
      </c>
      <c r="L343" s="15">
        <v>0</v>
      </c>
      <c r="M343" s="15">
        <v>0</v>
      </c>
      <c r="N343" s="14">
        <f>N340+N342</f>
        <v>59201393.909999989</v>
      </c>
    </row>
  </sheetData>
  <mergeCells count="4">
    <mergeCell ref="C1:E1"/>
    <mergeCell ref="L1:N1"/>
    <mergeCell ref="I1:K1"/>
    <mergeCell ref="F1:H1"/>
  </mergeCells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B2DD4-B463-44CA-872D-3D093A20E122}">
  <dimension ref="C2:T11"/>
  <sheetViews>
    <sheetView workbookViewId="0">
      <selection activeCell="F18" sqref="F18"/>
    </sheetView>
  </sheetViews>
  <sheetFormatPr defaultRowHeight="14.5" x14ac:dyDescent="0.35"/>
  <cols>
    <col min="3" max="3" width="15.81640625" bestFit="1" customWidth="1"/>
    <col min="5" max="5" width="13.90625" bestFit="1" customWidth="1"/>
    <col min="19" max="19" width="13.36328125" bestFit="1" customWidth="1"/>
  </cols>
  <sheetData>
    <row r="2" spans="3:20" x14ac:dyDescent="0.35">
      <c r="C2" t="s">
        <v>446</v>
      </c>
      <c r="D2" t="s">
        <v>444</v>
      </c>
      <c r="E2" t="s">
        <v>445</v>
      </c>
      <c r="F2" s="33">
        <v>45658</v>
      </c>
      <c r="G2" s="33">
        <v>45689</v>
      </c>
      <c r="H2" s="33">
        <v>45717</v>
      </c>
      <c r="I2" s="33">
        <v>45748</v>
      </c>
      <c r="J2" s="33">
        <v>45778</v>
      </c>
      <c r="K2" s="33">
        <v>45809</v>
      </c>
      <c r="L2" s="33">
        <v>45839</v>
      </c>
      <c r="M2" s="33">
        <v>45870</v>
      </c>
      <c r="N2" s="33">
        <v>45901</v>
      </c>
      <c r="O2" s="33">
        <v>45931</v>
      </c>
      <c r="P2" s="33">
        <v>45962</v>
      </c>
      <c r="Q2" s="33">
        <v>45992</v>
      </c>
      <c r="R2" t="s">
        <v>447</v>
      </c>
      <c r="S2" t="s">
        <v>448</v>
      </c>
      <c r="T2" t="s">
        <v>449</v>
      </c>
    </row>
    <row r="3" spans="3:20" x14ac:dyDescent="0.35">
      <c r="C3" t="s">
        <v>454</v>
      </c>
      <c r="F3">
        <v>1</v>
      </c>
      <c r="G3">
        <v>1</v>
      </c>
      <c r="H3">
        <v>1</v>
      </c>
      <c r="I3">
        <v>1</v>
      </c>
    </row>
    <row r="4" spans="3:20" x14ac:dyDescent="0.35">
      <c r="C4" t="s">
        <v>455</v>
      </c>
      <c r="F4">
        <v>1</v>
      </c>
      <c r="G4">
        <v>1</v>
      </c>
      <c r="H4">
        <v>1</v>
      </c>
      <c r="I4">
        <v>1</v>
      </c>
    </row>
    <row r="5" spans="3:20" x14ac:dyDescent="0.35">
      <c r="C5" t="s">
        <v>455</v>
      </c>
      <c r="F5">
        <v>1</v>
      </c>
      <c r="G5">
        <v>1</v>
      </c>
      <c r="H5">
        <v>1</v>
      </c>
      <c r="I5">
        <v>1</v>
      </c>
    </row>
    <row r="6" spans="3:20" x14ac:dyDescent="0.35">
      <c r="C6" t="s">
        <v>456</v>
      </c>
      <c r="F6">
        <v>1</v>
      </c>
      <c r="G6">
        <v>1</v>
      </c>
      <c r="H6">
        <v>1</v>
      </c>
      <c r="I6">
        <v>1</v>
      </c>
    </row>
    <row r="7" spans="3:20" x14ac:dyDescent="0.35"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</row>
    <row r="8" spans="3:20" x14ac:dyDescent="0.35">
      <c r="D8" t="s">
        <v>450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</row>
    <row r="9" spans="3:20" x14ac:dyDescent="0.35">
      <c r="D9" t="s">
        <v>451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</row>
    <row r="10" spans="3:20" x14ac:dyDescent="0.35">
      <c r="D10" t="s">
        <v>452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</row>
    <row r="11" spans="3:20" x14ac:dyDescent="0.35">
      <c r="D11" t="s">
        <v>453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 (2)</vt:lpstr>
      <vt:lpstr>2025</vt:lpstr>
      <vt:lpstr>snap shot</vt:lpstr>
      <vt:lpstr>scrap sales</vt:lpstr>
      <vt:lpstr>Tally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Rachamalla, Lakshmi Narayana</dc:creator>
  <cp:lastModifiedBy>R, Archana</cp:lastModifiedBy>
  <dcterms:created xsi:type="dcterms:W3CDTF">2026-01-03T11:23:24Z</dcterms:created>
  <dcterms:modified xsi:type="dcterms:W3CDTF">2026-02-09T07:13:17Z</dcterms:modified>
</cp:coreProperties>
</file>