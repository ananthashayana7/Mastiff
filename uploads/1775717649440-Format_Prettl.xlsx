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kshminarayana.rach\Desktop\01\"/>
    </mc:Choice>
  </mc:AlternateContent>
  <xr:revisionPtr revIDLastSave="0" documentId="8_{56A4882B-35E1-4895-A483-B3EBAB23007C}" xr6:coauthVersionLast="47" xr6:coauthVersionMax="47" xr10:uidLastSave="{00000000-0000-0000-0000-000000000000}"/>
  <bookViews>
    <workbookView xWindow="20" yWindow="20" windowWidth="19180" windowHeight="10060" xr2:uid="{704F5802-FD15-437D-8A2A-815E292D0EE2}"/>
  </bookViews>
  <sheets>
    <sheet name="P&amp;L" sheetId="6" r:id="rId1"/>
    <sheet name="Notes to P&amp;L" sheetId="7" r:id="rId2"/>
    <sheet name="Sheet1" sheetId="8" state="hidden" r:id="rId3"/>
    <sheet name="BS" sheetId="4" r:id="rId4"/>
  </sheets>
  <externalReferences>
    <externalReference r:id="rId5"/>
  </externalReferences>
  <definedNames>
    <definedName name="_neu" hidden="1">{"'Umsatztreppe'!$A$1:$P$40"}</definedName>
    <definedName name="_neu_1" hidden="1">{"'Umsatztreppe'!$A$1:$P$40"}</definedName>
    <definedName name="_neu_2" hidden="1">{"'Umsatztreppe'!$A$1:$P$40"}</definedName>
    <definedName name="_neu_3" hidden="1">{"'Umsatztreppe'!$A$1:$P$40"}</definedName>
    <definedName name="_neu_4" hidden="1">{"'Umsatztreppe'!$A$1:$P$40"}</definedName>
    <definedName name="AccountList">#REF!</definedName>
    <definedName name="CountLanguage">#REF!</definedName>
    <definedName name="dsad" hidden="1">{"'Umsatztreppe'!$A$1:$P$40"}</definedName>
    <definedName name="dsad_1" hidden="1">{"'Umsatztreppe'!$A$1:$P$40"}</definedName>
    <definedName name="dsad_2" hidden="1">{"'Umsatztreppe'!$A$1:$P$40"}</definedName>
    <definedName name="dsad_3" hidden="1">{"'Umsatztreppe'!$A$1:$P$40"}</definedName>
    <definedName name="dsad_4" hidden="1">{"'Umsatztreppe'!$A$1:$P$40"}</definedName>
    <definedName name="HTML" hidden="1">{"'Umsatztreppe'!$A$1:$P$40"}</definedName>
    <definedName name="HTML_1" hidden="1">{"'Umsatztreppe'!$A$1:$P$40"}</definedName>
    <definedName name="HTML_2" hidden="1">{"'Umsatztreppe'!$A$1:$P$40"}</definedName>
    <definedName name="HTML_3" hidden="1">{"'Umsatztreppe'!$A$1:$P$40"}</definedName>
    <definedName name="HTML_4" hidden="1">{"'Umsatztreppe'!$A$1:$P$40"}</definedName>
    <definedName name="HTML_CodePage" hidden="1">1252</definedName>
    <definedName name="HTML_Control" hidden="1">{"'Umsatztreppe'!$A$1:$P$40"}</definedName>
    <definedName name="HTML_Control_1" hidden="1">{"'Umsatztreppe'!$A$1:$P$40"}</definedName>
    <definedName name="HTML_Control_2" hidden="1">{"'Umsatztreppe'!$A$1:$P$40"}</definedName>
    <definedName name="HTML_Control_3" hidden="1">{"'Umsatztreppe'!$A$1:$P$40"}</definedName>
    <definedName name="HTML_Control_4" hidden="1">{"'Umsatztreppe'!$A$1:$P$40"}</definedName>
    <definedName name="HTML_Control_5" hidden="1">{"'Umsatztreppe'!$A$1:$P$40"}</definedName>
    <definedName name="HTML_Description" hidden="1">""</definedName>
    <definedName name="HTML_Email" hidden="1">""</definedName>
    <definedName name="HTML_Header" hidden="1">"Umsatztreppe"</definedName>
    <definedName name="HTML_LastUpdate" hidden="1">"03.01.2002"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"c:\sveta\MeinHTML.htm"</definedName>
    <definedName name="HTML_Title" hidden="1">"2002 Umsatztreppe PHU"</definedName>
    <definedName name="KritLanguage">#REF!</definedName>
    <definedName name="Language_Anlagenkat.">IF(#REF!="Deutsch",#REF!,IF(#REF!="English",#REF!))</definedName>
    <definedName name="Language_DeinvestAnlkat">IF(#REF!="Deutsch",#REF!,IF(#REF!="English",#REF!))</definedName>
    <definedName name="Language_DeinvestFinanz.">IF(#REF!="Deutsch",#REF!,IF(#REF!="English",#REF!))</definedName>
    <definedName name="Language_DeinvestInvkat.">IF(#REF!="Deutsch",#REF!,IF(#REF!="English",#REF!))</definedName>
    <definedName name="Language_Finanz">IF(#REF!="Deutsch",#REF!,IF(#REF!="English",#REF!))</definedName>
    <definedName name="Language_Investkat.">IF(#REF!="Deutsch",#REF!,IF(#REF!="English",#REF!))</definedName>
    <definedName name="Language_Verpflichtungsgrad">_xlfn.IFS(#REF!="Deutsch",#REF!,#REF!="English",#REF!)</definedName>
    <definedName name="SuSa201206" hidden="1">{"'Umsatztreppe'!$A$1:$P$40"}</definedName>
    <definedName name="SuSa201206_1" hidden="1">{"'Umsatztreppe'!$A$1:$P$40"}</definedName>
    <definedName name="SuSa201206_2" hidden="1">{"'Umsatztreppe'!$A$1:$P$40"}</definedName>
    <definedName name="SuSa201206_3" hidden="1">{"'Umsatztreppe'!$A$1:$P$40"}</definedName>
    <definedName name="SuSa201206_4" hidden="1">{"'Umsatztreppe'!$A$1:$P$40"}</definedName>
    <definedName name="Susa201212" hidden="1">{"'Umsatztreppe'!$A$1:$P$40"}</definedName>
    <definedName name="Susa201212_1" hidden="1">{"'Umsatztreppe'!$A$1:$P$40"}</definedName>
    <definedName name="Susa201212_2" hidden="1">{"'Umsatztreppe'!$A$1:$P$40"}</definedName>
    <definedName name="Susa201212_3" hidden="1">{"'Umsatztreppe'!$A$1:$P$40"}</definedName>
    <definedName name="Susa201212_4" hidden="1">{"'Umsatztreppe'!$A$1:$P$40"}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7" l="1"/>
  <c r="L17" i="6"/>
  <c r="M17" i="6" s="1"/>
  <c r="N17" i="6" s="1"/>
  <c r="O17" i="6" s="1"/>
  <c r="P17" i="6" s="1"/>
  <c r="G83" i="7"/>
  <c r="H16" i="6" s="1"/>
  <c r="F83" i="7"/>
  <c r="G16" i="6" s="1"/>
  <c r="E83" i="7"/>
  <c r="F16" i="6" s="1"/>
  <c r="D83" i="7"/>
  <c r="E16" i="6" s="1"/>
  <c r="C83" i="7"/>
  <c r="D16" i="6" s="1"/>
  <c r="G78" i="7"/>
  <c r="F78" i="7"/>
  <c r="E78" i="7"/>
  <c r="D78" i="7"/>
  <c r="C78" i="7"/>
  <c r="G77" i="7"/>
  <c r="F77" i="7"/>
  <c r="E77" i="7"/>
  <c r="D77" i="7"/>
  <c r="C77" i="7"/>
  <c r="G76" i="7"/>
  <c r="F76" i="7"/>
  <c r="E76" i="7"/>
  <c r="D76" i="7"/>
  <c r="C76" i="7"/>
  <c r="G75" i="7"/>
  <c r="F75" i="7"/>
  <c r="E75" i="7"/>
  <c r="D75" i="7"/>
  <c r="C75" i="7"/>
  <c r="G74" i="7"/>
  <c r="F74" i="7"/>
  <c r="E74" i="7"/>
  <c r="D74" i="7"/>
  <c r="C74" i="7"/>
  <c r="G73" i="7"/>
  <c r="F73" i="7"/>
  <c r="E73" i="7"/>
  <c r="D73" i="7"/>
  <c r="C73" i="7"/>
  <c r="G72" i="7"/>
  <c r="F72" i="7"/>
  <c r="E72" i="7"/>
  <c r="D72" i="7"/>
  <c r="C72" i="7"/>
  <c r="G71" i="7"/>
  <c r="F71" i="7"/>
  <c r="E71" i="7"/>
  <c r="D71" i="7"/>
  <c r="C71" i="7"/>
  <c r="G70" i="7"/>
  <c r="F70" i="7"/>
  <c r="E70" i="7"/>
  <c r="D70" i="7"/>
  <c r="C70" i="7"/>
  <c r="G69" i="7"/>
  <c r="F69" i="7"/>
  <c r="E69" i="7"/>
  <c r="D69" i="7"/>
  <c r="C69" i="7"/>
  <c r="G68" i="7"/>
  <c r="F68" i="7"/>
  <c r="E68" i="7"/>
  <c r="D68" i="7"/>
  <c r="C68" i="7"/>
  <c r="G67" i="7"/>
  <c r="F67" i="7"/>
  <c r="E67" i="7"/>
  <c r="D67" i="7"/>
  <c r="C67" i="7"/>
  <c r="G66" i="7"/>
  <c r="F66" i="7"/>
  <c r="E66" i="7"/>
  <c r="D66" i="7"/>
  <c r="C66" i="7"/>
  <c r="G65" i="7"/>
  <c r="F65" i="7"/>
  <c r="E65" i="7"/>
  <c r="D65" i="7"/>
  <c r="C65" i="7"/>
  <c r="G64" i="7"/>
  <c r="F64" i="7"/>
  <c r="E64" i="7"/>
  <c r="D64" i="7"/>
  <c r="C64" i="7"/>
  <c r="G63" i="7"/>
  <c r="F63" i="7"/>
  <c r="E63" i="7"/>
  <c r="D63" i="7"/>
  <c r="C63" i="7"/>
  <c r="G62" i="7"/>
  <c r="F62" i="7"/>
  <c r="E62" i="7"/>
  <c r="D62" i="7"/>
  <c r="C62" i="7"/>
  <c r="G61" i="7"/>
  <c r="F61" i="7"/>
  <c r="E61" i="7"/>
  <c r="D61" i="7"/>
  <c r="C61" i="7"/>
  <c r="G60" i="7"/>
  <c r="F60" i="7"/>
  <c r="E60" i="7"/>
  <c r="D60" i="7"/>
  <c r="C60" i="7"/>
  <c r="G59" i="7"/>
  <c r="F59" i="7"/>
  <c r="E59" i="7"/>
  <c r="D59" i="7"/>
  <c r="C59" i="7"/>
  <c r="G58" i="7"/>
  <c r="F58" i="7"/>
  <c r="E58" i="7"/>
  <c r="D58" i="7"/>
  <c r="C58" i="7"/>
  <c r="G57" i="7"/>
  <c r="F57" i="7"/>
  <c r="E57" i="7"/>
  <c r="D57" i="7"/>
  <c r="C57" i="7"/>
  <c r="G56" i="7"/>
  <c r="F56" i="7"/>
  <c r="E56" i="7"/>
  <c r="D56" i="7"/>
  <c r="C56" i="7"/>
  <c r="G55" i="7"/>
  <c r="F55" i="7"/>
  <c r="E55" i="7"/>
  <c r="D55" i="7"/>
  <c r="C55" i="7"/>
  <c r="G54" i="7"/>
  <c r="F54" i="7"/>
  <c r="E54" i="7"/>
  <c r="D54" i="7"/>
  <c r="C54" i="7"/>
  <c r="G49" i="7"/>
  <c r="F49" i="7"/>
  <c r="E49" i="7"/>
  <c r="D49" i="7"/>
  <c r="C49" i="7"/>
  <c r="G48" i="7"/>
  <c r="F48" i="7"/>
  <c r="E48" i="7"/>
  <c r="D48" i="7"/>
  <c r="C48" i="7"/>
  <c r="G43" i="7"/>
  <c r="F43" i="7"/>
  <c r="E43" i="7"/>
  <c r="D43" i="7"/>
  <c r="C43" i="7"/>
  <c r="G42" i="7"/>
  <c r="F42" i="7"/>
  <c r="E42" i="7"/>
  <c r="D42" i="7"/>
  <c r="C42" i="7"/>
  <c r="G41" i="7"/>
  <c r="F41" i="7"/>
  <c r="E41" i="7"/>
  <c r="D41" i="7"/>
  <c r="C41" i="7"/>
  <c r="G35" i="7"/>
  <c r="F35" i="7"/>
  <c r="E35" i="7"/>
  <c r="D35" i="7"/>
  <c r="C35" i="7"/>
  <c r="G34" i="7"/>
  <c r="F34" i="7"/>
  <c r="E34" i="7"/>
  <c r="D34" i="7"/>
  <c r="C34" i="7"/>
  <c r="G33" i="7"/>
  <c r="F33" i="7"/>
  <c r="E33" i="7"/>
  <c r="D33" i="7"/>
  <c r="C33" i="7"/>
  <c r="G29" i="7"/>
  <c r="H9" i="6" s="1"/>
  <c r="F29" i="7"/>
  <c r="G9" i="6" s="1"/>
  <c r="E29" i="7"/>
  <c r="F9" i="6" s="1"/>
  <c r="D29" i="7"/>
  <c r="E9" i="6" s="1"/>
  <c r="C29" i="7"/>
  <c r="D9" i="6" s="1"/>
  <c r="G24" i="7"/>
  <c r="F24" i="7"/>
  <c r="E24" i="7"/>
  <c r="D24" i="7"/>
  <c r="D25" i="7" s="1"/>
  <c r="E8" i="6" s="1"/>
  <c r="C24" i="7"/>
  <c r="C25" i="7" s="1"/>
  <c r="D8" i="6" s="1"/>
  <c r="G19" i="7"/>
  <c r="F19" i="7"/>
  <c r="E19" i="7"/>
  <c r="D19" i="7"/>
  <c r="C19" i="7"/>
  <c r="J19" i="7" s="1"/>
  <c r="K19" i="7" s="1"/>
  <c r="L19" i="7" s="1"/>
  <c r="M19" i="7" s="1"/>
  <c r="G18" i="7"/>
  <c r="F18" i="7"/>
  <c r="E18" i="7"/>
  <c r="D18" i="7"/>
  <c r="C18" i="7"/>
  <c r="G17" i="7"/>
  <c r="F17" i="7"/>
  <c r="E17" i="7"/>
  <c r="D17" i="7"/>
  <c r="C17" i="7"/>
  <c r="G12" i="7"/>
  <c r="F12" i="7"/>
  <c r="E12" i="7"/>
  <c r="D12" i="7"/>
  <c r="C12" i="7"/>
  <c r="G11" i="7"/>
  <c r="F11" i="7"/>
  <c r="E11" i="7"/>
  <c r="D11" i="7"/>
  <c r="C11" i="7"/>
  <c r="G10" i="7"/>
  <c r="F10" i="7"/>
  <c r="E10" i="7"/>
  <c r="D10" i="7"/>
  <c r="C10" i="7"/>
  <c r="G9" i="7"/>
  <c r="F9" i="7"/>
  <c r="E9" i="7"/>
  <c r="D9" i="7"/>
  <c r="C9" i="7"/>
  <c r="G8" i="7"/>
  <c r="F8" i="7"/>
  <c r="E8" i="7"/>
  <c r="D8" i="7"/>
  <c r="C8" i="7"/>
  <c r="G5" i="7"/>
  <c r="F5" i="7"/>
  <c r="E5" i="7"/>
  <c r="D5" i="7"/>
  <c r="C5" i="7"/>
  <c r="G4" i="7"/>
  <c r="F4" i="7"/>
  <c r="E4" i="7"/>
  <c r="D4" i="7"/>
  <c r="C4" i="7"/>
  <c r="B83" i="7"/>
  <c r="C16" i="6" s="1"/>
  <c r="B29" i="7"/>
  <c r="C9" i="6" s="1"/>
  <c r="B24" i="7"/>
  <c r="I24" i="7" s="1"/>
  <c r="B77" i="7"/>
  <c r="I77" i="7" s="1"/>
  <c r="J77" i="7" s="1"/>
  <c r="K77" i="7" s="1"/>
  <c r="B76" i="7"/>
  <c r="I76" i="7" s="1"/>
  <c r="B75" i="7"/>
  <c r="I75" i="7" s="1"/>
  <c r="B74" i="7"/>
  <c r="I74" i="7" s="1"/>
  <c r="B73" i="7"/>
  <c r="I73" i="7" s="1"/>
  <c r="B72" i="7"/>
  <c r="I72" i="7" s="1"/>
  <c r="B70" i="7"/>
  <c r="I70" i="7" s="1"/>
  <c r="J70" i="7" s="1"/>
  <c r="B64" i="7"/>
  <c r="I64" i="7" s="1"/>
  <c r="B62" i="7"/>
  <c r="I62" i="7" s="1"/>
  <c r="B61" i="7"/>
  <c r="I61" i="7" s="1"/>
  <c r="B59" i="7"/>
  <c r="I59" i="7" s="1"/>
  <c r="B56" i="7"/>
  <c r="I56" i="7" s="1"/>
  <c r="B55" i="7"/>
  <c r="I55" i="7" s="1"/>
  <c r="J55" i="7" s="1"/>
  <c r="K55" i="7" s="1"/>
  <c r="L55" i="7" s="1"/>
  <c r="M55" i="7" s="1"/>
  <c r="B54" i="7"/>
  <c r="I54" i="7" s="1"/>
  <c r="B49" i="7"/>
  <c r="I49" i="7" s="1"/>
  <c r="J49" i="7" s="1"/>
  <c r="K49" i="7" s="1"/>
  <c r="B43" i="7"/>
  <c r="I43" i="7" s="1"/>
  <c r="B42" i="7"/>
  <c r="I42" i="7" s="1"/>
  <c r="B41" i="7"/>
  <c r="I41" i="7" s="1"/>
  <c r="B35" i="7"/>
  <c r="I35" i="7" s="1"/>
  <c r="B34" i="7"/>
  <c r="I34" i="7" s="1"/>
  <c r="B18" i="7"/>
  <c r="I18" i="7" s="1"/>
  <c r="B17" i="7"/>
  <c r="I17" i="7" s="1"/>
  <c r="J17" i="7" s="1"/>
  <c r="K17" i="7" s="1"/>
  <c r="B12" i="7"/>
  <c r="I12" i="7" s="1"/>
  <c r="B11" i="7"/>
  <c r="I11" i="7" s="1"/>
  <c r="B10" i="7"/>
  <c r="I10" i="7" s="1"/>
  <c r="B9" i="7"/>
  <c r="I9" i="7" s="1"/>
  <c r="B8" i="7"/>
  <c r="I8" i="7" s="1"/>
  <c r="B5" i="7"/>
  <c r="I5" i="7" s="1"/>
  <c r="J73" i="7" l="1"/>
  <c r="K73" i="7" s="1"/>
  <c r="J76" i="7"/>
  <c r="J10" i="7"/>
  <c r="K10" i="7" s="1"/>
  <c r="L10" i="7" s="1"/>
  <c r="M10" i="7" s="1"/>
  <c r="N10" i="7" s="1"/>
  <c r="K70" i="7"/>
  <c r="I44" i="7"/>
  <c r="J72" i="7"/>
  <c r="K72" i="7" s="1"/>
  <c r="L72" i="7" s="1"/>
  <c r="M72" i="7" s="1"/>
  <c r="N72" i="7" s="1"/>
  <c r="J8" i="7"/>
  <c r="K8" i="7" s="1"/>
  <c r="L8" i="7" s="1"/>
  <c r="M8" i="7" s="1"/>
  <c r="N8" i="7" s="1"/>
  <c r="J43" i="7"/>
  <c r="K43" i="7" s="1"/>
  <c r="L43" i="7" s="1"/>
  <c r="M43" i="7" s="1"/>
  <c r="N43" i="7" s="1"/>
  <c r="L49" i="7"/>
  <c r="M49" i="7" s="1"/>
  <c r="N49" i="7" s="1"/>
  <c r="J75" i="7"/>
  <c r="K75" i="7" s="1"/>
  <c r="L75" i="7" s="1"/>
  <c r="M75" i="7" s="1"/>
  <c r="N75" i="7" s="1"/>
  <c r="J9" i="7"/>
  <c r="K9" i="7" s="1"/>
  <c r="L9" i="7" s="1"/>
  <c r="M9" i="7" s="1"/>
  <c r="N9" i="7" s="1"/>
  <c r="K76" i="7"/>
  <c r="L76" i="7" s="1"/>
  <c r="M76" i="7" s="1"/>
  <c r="N76" i="7" s="1"/>
  <c r="C50" i="7"/>
  <c r="D12" i="6" s="1"/>
  <c r="J11" i="7"/>
  <c r="K11" i="7" s="1"/>
  <c r="L11" i="7" s="1"/>
  <c r="M11" i="7" s="1"/>
  <c r="N11" i="7" s="1"/>
  <c r="N55" i="7"/>
  <c r="J56" i="7"/>
  <c r="K56" i="7" s="1"/>
  <c r="L56" i="7" s="1"/>
  <c r="M56" i="7" s="1"/>
  <c r="N56" i="7" s="1"/>
  <c r="N19" i="7"/>
  <c r="L77" i="7"/>
  <c r="M77" i="7" s="1"/>
  <c r="N77" i="7" s="1"/>
  <c r="J61" i="7"/>
  <c r="K61" i="7" s="1"/>
  <c r="L61" i="7" s="1"/>
  <c r="M61" i="7" s="1"/>
  <c r="N61" i="7" s="1"/>
  <c r="J35" i="7"/>
  <c r="K35" i="7" s="1"/>
  <c r="L35" i="7" s="1"/>
  <c r="M35" i="7" s="1"/>
  <c r="N35" i="7" s="1"/>
  <c r="L70" i="7"/>
  <c r="M70" i="7" s="1"/>
  <c r="N70" i="7" s="1"/>
  <c r="J12" i="7"/>
  <c r="K12" i="7" s="1"/>
  <c r="L12" i="7" s="1"/>
  <c r="M12" i="7" s="1"/>
  <c r="N12" i="7" s="1"/>
  <c r="J42" i="7"/>
  <c r="K42" i="7" s="1"/>
  <c r="L42" i="7" s="1"/>
  <c r="M42" i="7" s="1"/>
  <c r="N42" i="7" s="1"/>
  <c r="L73" i="7"/>
  <c r="M73" i="7" s="1"/>
  <c r="N73" i="7" s="1"/>
  <c r="J5" i="7"/>
  <c r="K5" i="7" s="1"/>
  <c r="J74" i="7"/>
  <c r="K74" i="7" s="1"/>
  <c r="L74" i="7" s="1"/>
  <c r="M74" i="7" s="1"/>
  <c r="N74" i="7" s="1"/>
  <c r="J59" i="7"/>
  <c r="K59" i="7" s="1"/>
  <c r="L59" i="7" s="1"/>
  <c r="M59" i="7" s="1"/>
  <c r="N59" i="7" s="1"/>
  <c r="J62" i="7"/>
  <c r="K62" i="7" s="1"/>
  <c r="L62" i="7" s="1"/>
  <c r="M62" i="7" s="1"/>
  <c r="N62" i="7" s="1"/>
  <c r="J34" i="7"/>
  <c r="K34" i="7" s="1"/>
  <c r="L34" i="7" s="1"/>
  <c r="M34" i="7" s="1"/>
  <c r="N34" i="7" s="1"/>
  <c r="J64" i="7"/>
  <c r="K64" i="7" s="1"/>
  <c r="L64" i="7" s="1"/>
  <c r="M64" i="7" s="1"/>
  <c r="N64" i="7" s="1"/>
  <c r="J24" i="7"/>
  <c r="K24" i="7" s="1"/>
  <c r="I25" i="7"/>
  <c r="I20" i="7"/>
  <c r="K9" i="6"/>
  <c r="L9" i="6" s="1"/>
  <c r="M9" i="6" s="1"/>
  <c r="N9" i="6" s="1"/>
  <c r="O9" i="6" s="1"/>
  <c r="P9" i="6" s="1"/>
  <c r="C44" i="7"/>
  <c r="I83" i="7"/>
  <c r="J83" i="7" s="1"/>
  <c r="K83" i="7" s="1"/>
  <c r="L83" i="7" s="1"/>
  <c r="M83" i="7" s="1"/>
  <c r="N83" i="7" s="1"/>
  <c r="I29" i="7"/>
  <c r="J29" i="7" s="1"/>
  <c r="K29" i="7" s="1"/>
  <c r="L29" i="7" s="1"/>
  <c r="M29" i="7" s="1"/>
  <c r="N29" i="7" s="1"/>
  <c r="K16" i="6"/>
  <c r="L16" i="6" s="1"/>
  <c r="M16" i="6" s="1"/>
  <c r="N16" i="6" s="1"/>
  <c r="O16" i="6" s="1"/>
  <c r="P16" i="6" s="1"/>
  <c r="J54" i="7"/>
  <c r="J41" i="7"/>
  <c r="J18" i="7"/>
  <c r="L17" i="7"/>
  <c r="C6" i="7"/>
  <c r="C13" i="7" s="1"/>
  <c r="D4" i="6" s="1"/>
  <c r="D6" i="6" s="1"/>
  <c r="D50" i="7"/>
  <c r="E12" i="6" s="1"/>
  <c r="D36" i="7"/>
  <c r="E10" i="6" s="1"/>
  <c r="D79" i="7"/>
  <c r="E13" i="6" s="1"/>
  <c r="D44" i="7"/>
  <c r="D20" i="7"/>
  <c r="E5" i="6" s="1"/>
  <c r="C79" i="7"/>
  <c r="D13" i="6" s="1"/>
  <c r="C36" i="7"/>
  <c r="D10" i="6" s="1"/>
  <c r="C20" i="7"/>
  <c r="D5" i="6" s="1"/>
  <c r="B20" i="7"/>
  <c r="J25" i="7" l="1"/>
  <c r="C5" i="6"/>
  <c r="K5" i="6"/>
  <c r="L5" i="6" s="1"/>
  <c r="M5" i="6" s="1"/>
  <c r="K54" i="7"/>
  <c r="K41" i="7"/>
  <c r="J44" i="7"/>
  <c r="L24" i="7"/>
  <c r="K25" i="7"/>
  <c r="M17" i="7"/>
  <c r="J20" i="7"/>
  <c r="K18" i="7"/>
  <c r="L5" i="7"/>
  <c r="E25" i="7"/>
  <c r="F8" i="6" s="1"/>
  <c r="E20" i="7"/>
  <c r="F5" i="6" s="1"/>
  <c r="E79" i="7"/>
  <c r="F13" i="6" s="1"/>
  <c r="E44" i="7"/>
  <c r="E6" i="7"/>
  <c r="E13" i="7" s="1"/>
  <c r="F4" i="6" s="1"/>
  <c r="E36" i="7"/>
  <c r="F10" i="6" s="1"/>
  <c r="E50" i="7"/>
  <c r="F12" i="6" s="1"/>
  <c r="D6" i="7"/>
  <c r="D13" i="7" s="1"/>
  <c r="E4" i="6" s="1"/>
  <c r="E6" i="6" s="1"/>
  <c r="B4" i="7"/>
  <c r="I4" i="7" s="1"/>
  <c r="B71" i="7"/>
  <c r="I71" i="7" s="1"/>
  <c r="J71" i="7" s="1"/>
  <c r="K71" i="7" s="1"/>
  <c r="L71" i="7" s="1"/>
  <c r="M71" i="7" s="1"/>
  <c r="N71" i="7" s="1"/>
  <c r="B57" i="7"/>
  <c r="I57" i="7" s="1"/>
  <c r="B65" i="7"/>
  <c r="I65" i="7" s="1"/>
  <c r="J65" i="7" s="1"/>
  <c r="K65" i="7" s="1"/>
  <c r="L65" i="7" s="1"/>
  <c r="M65" i="7" s="1"/>
  <c r="N65" i="7" s="1"/>
  <c r="B63" i="7"/>
  <c r="I63" i="7" s="1"/>
  <c r="J63" i="7" s="1"/>
  <c r="K63" i="7" s="1"/>
  <c r="L63" i="7" s="1"/>
  <c r="M63" i="7" s="1"/>
  <c r="N63" i="7" s="1"/>
  <c r="B67" i="7"/>
  <c r="I67" i="7" s="1"/>
  <c r="J67" i="7" s="1"/>
  <c r="K67" i="7" s="1"/>
  <c r="L67" i="7" s="1"/>
  <c r="M67" i="7" s="1"/>
  <c r="N67" i="7" s="1"/>
  <c r="B60" i="7"/>
  <c r="I60" i="7" s="1"/>
  <c r="J60" i="7" s="1"/>
  <c r="K60" i="7" s="1"/>
  <c r="L60" i="7" s="1"/>
  <c r="M60" i="7" s="1"/>
  <c r="N60" i="7" s="1"/>
  <c r="B69" i="7"/>
  <c r="I69" i="7" s="1"/>
  <c r="J69" i="7" s="1"/>
  <c r="K69" i="7" s="1"/>
  <c r="L69" i="7" s="1"/>
  <c r="M69" i="7" s="1"/>
  <c r="N69" i="7" s="1"/>
  <c r="J57" i="7" l="1"/>
  <c r="N5" i="6"/>
  <c r="J4" i="7"/>
  <c r="I6" i="7"/>
  <c r="I13" i="7" s="1"/>
  <c r="F6" i="6"/>
  <c r="L54" i="7"/>
  <c r="L41" i="7"/>
  <c r="K44" i="7"/>
  <c r="M24" i="7"/>
  <c r="L25" i="7"/>
  <c r="L18" i="7"/>
  <c r="K20" i="7"/>
  <c r="N17" i="7"/>
  <c r="M5" i="7"/>
  <c r="G79" i="7"/>
  <c r="H13" i="6" s="1"/>
  <c r="F79" i="7"/>
  <c r="G13" i="6" s="1"/>
  <c r="F36" i="7"/>
  <c r="G10" i="6" s="1"/>
  <c r="G36" i="7"/>
  <c r="H10" i="6" s="1"/>
  <c r="G6" i="7"/>
  <c r="G13" i="7" s="1"/>
  <c r="H4" i="6" s="1"/>
  <c r="F6" i="7"/>
  <c r="F13" i="7" s="1"/>
  <c r="G4" i="6" s="1"/>
  <c r="G44" i="7"/>
  <c r="F44" i="7"/>
  <c r="F20" i="7"/>
  <c r="G5" i="6" s="1"/>
  <c r="G20" i="7"/>
  <c r="H5" i="6" s="1"/>
  <c r="G50" i="7"/>
  <c r="H12" i="6" s="1"/>
  <c r="F50" i="7"/>
  <c r="G12" i="6" s="1"/>
  <c r="F25" i="7"/>
  <c r="G8" i="6" s="1"/>
  <c r="G25" i="7"/>
  <c r="H8" i="6" s="1"/>
  <c r="B58" i="7"/>
  <c r="I58" i="7" s="1"/>
  <c r="J58" i="7" s="1"/>
  <c r="K58" i="7" s="1"/>
  <c r="L58" i="7" s="1"/>
  <c r="M58" i="7" s="1"/>
  <c r="N58" i="7" s="1"/>
  <c r="B66" i="7"/>
  <c r="I66" i="7" s="1"/>
  <c r="J66" i="7" s="1"/>
  <c r="K66" i="7" s="1"/>
  <c r="L66" i="7" s="1"/>
  <c r="M66" i="7" s="1"/>
  <c r="N66" i="7" s="1"/>
  <c r="B78" i="7"/>
  <c r="I78" i="7" s="1"/>
  <c r="J78" i="7" s="1"/>
  <c r="K78" i="7" s="1"/>
  <c r="L78" i="7" s="1"/>
  <c r="M78" i="7" s="1"/>
  <c r="N78" i="7" s="1"/>
  <c r="B68" i="7"/>
  <c r="I68" i="7" s="1"/>
  <c r="J68" i="7" s="1"/>
  <c r="K68" i="7" s="1"/>
  <c r="L68" i="7" s="1"/>
  <c r="M68" i="7" s="1"/>
  <c r="N68" i="7" s="1"/>
  <c r="B33" i="7"/>
  <c r="I33" i="7" s="1"/>
  <c r="I36" i="7" l="1"/>
  <c r="J33" i="7"/>
  <c r="G6" i="6"/>
  <c r="O5" i="6"/>
  <c r="P5" i="6" s="1"/>
  <c r="H6" i="6"/>
  <c r="K4" i="7"/>
  <c r="J6" i="7"/>
  <c r="J13" i="7" s="1"/>
  <c r="I79" i="7"/>
  <c r="K57" i="7"/>
  <c r="J79" i="7"/>
  <c r="M54" i="7"/>
  <c r="M41" i="7"/>
  <c r="L44" i="7"/>
  <c r="N24" i="7"/>
  <c r="N25" i="7" s="1"/>
  <c r="M25" i="7"/>
  <c r="M18" i="7"/>
  <c r="L20" i="7"/>
  <c r="N5" i="7"/>
  <c r="B48" i="7"/>
  <c r="I48" i="7" s="1"/>
  <c r="I50" i="7" l="1"/>
  <c r="J48" i="7"/>
  <c r="L57" i="7"/>
  <c r="K79" i="7"/>
  <c r="L4" i="7"/>
  <c r="K6" i="7"/>
  <c r="K13" i="7" s="1"/>
  <c r="J36" i="7"/>
  <c r="K33" i="7"/>
  <c r="N54" i="7"/>
  <c r="N41" i="7"/>
  <c r="N44" i="7" s="1"/>
  <c r="M44" i="7"/>
  <c r="N18" i="7"/>
  <c r="N20" i="7" s="1"/>
  <c r="M20" i="7"/>
  <c r="B38" i="4"/>
  <c r="B32" i="4"/>
  <c r="B26" i="4"/>
  <c r="B79" i="7"/>
  <c r="B50" i="7"/>
  <c r="B44" i="7"/>
  <c r="B36" i="7"/>
  <c r="B6" i="7"/>
  <c r="B10" i="4"/>
  <c r="B5" i="4"/>
  <c r="B30" i="4"/>
  <c r="B16" i="4"/>
  <c r="M4" i="7" l="1"/>
  <c r="L6" i="7"/>
  <c r="L13" i="7" s="1"/>
  <c r="M57" i="7"/>
  <c r="L79" i="7"/>
  <c r="K36" i="7"/>
  <c r="L33" i="7"/>
  <c r="C11" i="6"/>
  <c r="H11" i="6"/>
  <c r="H14" i="6" s="1"/>
  <c r="H15" i="6" s="1"/>
  <c r="H18" i="6" s="1"/>
  <c r="G11" i="6"/>
  <c r="G14" i="6" s="1"/>
  <c r="G15" i="6" s="1"/>
  <c r="G18" i="6" s="1"/>
  <c r="K11" i="6"/>
  <c r="F11" i="6"/>
  <c r="F14" i="6" s="1"/>
  <c r="F15" i="6" s="1"/>
  <c r="F18" i="6" s="1"/>
  <c r="E11" i="6"/>
  <c r="E14" i="6" s="1"/>
  <c r="E15" i="6" s="1"/>
  <c r="E18" i="6" s="1"/>
  <c r="D11" i="6"/>
  <c r="K48" i="7"/>
  <c r="J50" i="7"/>
  <c r="C10" i="6"/>
  <c r="K10" i="6"/>
  <c r="L10" i="6" s="1"/>
  <c r="M10" i="6" s="1"/>
  <c r="N10" i="6" s="1"/>
  <c r="O10" i="6" s="1"/>
  <c r="P10" i="6" s="1"/>
  <c r="C12" i="6"/>
  <c r="K12" i="6"/>
  <c r="L12" i="6" s="1"/>
  <c r="M12" i="6" s="1"/>
  <c r="N12" i="6" s="1"/>
  <c r="O12" i="6" s="1"/>
  <c r="P12" i="6" s="1"/>
  <c r="C13" i="6"/>
  <c r="K13" i="6"/>
  <c r="L13" i="6" s="1"/>
  <c r="M13" i="6" s="1"/>
  <c r="N13" i="6" s="1"/>
  <c r="O13" i="6" s="1"/>
  <c r="P13" i="6" s="1"/>
  <c r="B13" i="7"/>
  <c r="B36" i="4"/>
  <c r="B14" i="4"/>
  <c r="C4" i="6" l="1"/>
  <c r="C6" i="6" s="1"/>
  <c r="K4" i="6"/>
  <c r="N57" i="7"/>
  <c r="N79" i="7" s="1"/>
  <c r="M79" i="7"/>
  <c r="L36" i="7"/>
  <c r="M33" i="7"/>
  <c r="K50" i="7"/>
  <c r="L48" i="7"/>
  <c r="L11" i="6"/>
  <c r="M11" i="6" s="1"/>
  <c r="N11" i="6" s="1"/>
  <c r="O11" i="6" s="1"/>
  <c r="P11" i="6" s="1"/>
  <c r="D14" i="6"/>
  <c r="D15" i="6" s="1"/>
  <c r="D18" i="6" s="1"/>
  <c r="N4" i="7"/>
  <c r="N6" i="7" s="1"/>
  <c r="N13" i="7" s="1"/>
  <c r="M6" i="7"/>
  <c r="M13" i="7" s="1"/>
  <c r="B25" i="7"/>
  <c r="L50" i="7" l="1"/>
  <c r="M48" i="7"/>
  <c r="M36" i="7"/>
  <c r="N33" i="7"/>
  <c r="N36" i="7" s="1"/>
  <c r="L4" i="6"/>
  <c r="K6" i="6"/>
  <c r="C8" i="6"/>
  <c r="C14" i="6" s="1"/>
  <c r="C15" i="6" s="1"/>
  <c r="C18" i="6" s="1"/>
  <c r="K8" i="6"/>
  <c r="M4" i="6" l="1"/>
  <c r="L6" i="6"/>
  <c r="K14" i="6"/>
  <c r="L8" i="6"/>
  <c r="N48" i="7"/>
  <c r="N50" i="7" s="1"/>
  <c r="M50" i="7"/>
  <c r="K15" i="6"/>
  <c r="K18" i="6" s="1"/>
  <c r="M8" i="6" l="1"/>
  <c r="L14" i="6"/>
  <c r="L15" i="6"/>
  <c r="L18" i="6" s="1"/>
  <c r="N4" i="6"/>
  <c r="M6" i="6"/>
  <c r="O4" i="6" l="1"/>
  <c r="N6" i="6"/>
  <c r="N8" i="6"/>
  <c r="M14" i="6"/>
  <c r="M15" i="6" s="1"/>
  <c r="M18" i="6" s="1"/>
  <c r="N14" i="6" l="1"/>
  <c r="N15" i="6" s="1"/>
  <c r="N18" i="6" s="1"/>
  <c r="O8" i="6"/>
  <c r="P4" i="6"/>
  <c r="P6" i="6" s="1"/>
  <c r="O6" i="6"/>
  <c r="O14" i="6" l="1"/>
  <c r="O15" i="6" s="1"/>
  <c r="O18" i="6" s="1"/>
  <c r="P8" i="6"/>
  <c r="P14" i="6" s="1"/>
  <c r="P15" i="6" s="1"/>
  <c r="P18" i="6" s="1"/>
</calcChain>
</file>

<file path=xl/sharedStrings.xml><?xml version="1.0" encoding="utf-8"?>
<sst xmlns="http://schemas.openxmlformats.org/spreadsheetml/2006/main" count="168" uniqueCount="127">
  <si>
    <t>Total Assets</t>
  </si>
  <si>
    <t>Total Liabilities</t>
  </si>
  <si>
    <t>Working Capital</t>
  </si>
  <si>
    <t>Investments</t>
  </si>
  <si>
    <t>Inventories</t>
  </si>
  <si>
    <t>Other income</t>
  </si>
  <si>
    <t>Land</t>
  </si>
  <si>
    <t>Building</t>
  </si>
  <si>
    <t>Plant Machinery</t>
  </si>
  <si>
    <t>Equipments</t>
  </si>
  <si>
    <t>Computers</t>
  </si>
  <si>
    <t>Furniture n fittings</t>
  </si>
  <si>
    <t>Vehicles</t>
  </si>
  <si>
    <t>Intangible Assets</t>
  </si>
  <si>
    <t>Other fixed assets</t>
  </si>
  <si>
    <t>Gross Block</t>
  </si>
  <si>
    <t>Accumulated Depreciation</t>
  </si>
  <si>
    <t>CWIP</t>
  </si>
  <si>
    <t>Trade receivables</t>
  </si>
  <si>
    <t>Cash Equivalents</t>
  </si>
  <si>
    <t>Other asset items</t>
  </si>
  <si>
    <t>Equity Capital</t>
  </si>
  <si>
    <t>Reserves</t>
  </si>
  <si>
    <t>Long term Borrowings</t>
  </si>
  <si>
    <t>Short term Borrowings</t>
  </si>
  <si>
    <t>Lease Liabilities</t>
  </si>
  <si>
    <t>Other Borrowings</t>
  </si>
  <si>
    <t>Trade Payables</t>
  </si>
  <si>
    <t>Advance from Customers</t>
  </si>
  <si>
    <t>Other liability items</t>
  </si>
  <si>
    <t>Borrowings -</t>
  </si>
  <si>
    <t>B -Total Assets</t>
  </si>
  <si>
    <t>A -Total Liabilities</t>
  </si>
  <si>
    <t>Other Liabilities -</t>
  </si>
  <si>
    <t>Fixed Assets -</t>
  </si>
  <si>
    <t>Other Assets -</t>
  </si>
  <si>
    <t>Loans &amp; Advances</t>
  </si>
  <si>
    <t>Sale of products</t>
  </si>
  <si>
    <t>Sale of services</t>
  </si>
  <si>
    <t>Total Income</t>
  </si>
  <si>
    <t>Changes in inventories of finished goods and work-in-progress</t>
  </si>
  <si>
    <t>Employee benefits expense</t>
  </si>
  <si>
    <t>Finance costs</t>
  </si>
  <si>
    <t>Depreciation and amortisation expenses</t>
  </si>
  <si>
    <t>Other expenses</t>
  </si>
  <si>
    <t>A- Total Income</t>
  </si>
  <si>
    <t>B- Total Expenses</t>
  </si>
  <si>
    <t>Total expenses</t>
  </si>
  <si>
    <t>Current tax</t>
  </si>
  <si>
    <t>Deferred tax</t>
  </si>
  <si>
    <t>Revenue from operations</t>
  </si>
  <si>
    <t>Particulars</t>
  </si>
  <si>
    <t>1. Revenue from operations</t>
  </si>
  <si>
    <t>Amount INR</t>
  </si>
  <si>
    <t>Tooling income</t>
  </si>
  <si>
    <t xml:space="preserve"> Export incentive benefits</t>
  </si>
  <si>
    <t xml:space="preserve"> Income from government grants</t>
  </si>
  <si>
    <t xml:space="preserve">Scrap sales  </t>
  </si>
  <si>
    <t>Sale of child parts</t>
  </si>
  <si>
    <t>Sub Total</t>
  </si>
  <si>
    <t>Other Operating revenues</t>
  </si>
  <si>
    <t>Total</t>
  </si>
  <si>
    <t>2. Other Income</t>
  </si>
  <si>
    <t>Interest income on bank deposits</t>
  </si>
  <si>
    <t>Cost of raw material consumed</t>
  </si>
  <si>
    <t>3. Cost of Raw material comsumed</t>
  </si>
  <si>
    <t>4.Changes in inventories of finished goods and work-in-progress</t>
  </si>
  <si>
    <t>5.Employee benefits expense</t>
  </si>
  <si>
    <t>6.Finance costs</t>
  </si>
  <si>
    <t>7.Depreciation and amortisation expenses</t>
  </si>
  <si>
    <t>8.Other expenses</t>
  </si>
  <si>
    <t>Salaries and wages</t>
  </si>
  <si>
    <t>Contribution to provident and other funds</t>
  </si>
  <si>
    <t>Staff welfare expenses</t>
  </si>
  <si>
    <t>Interest expense on</t>
  </si>
  <si>
    <t>- Banks and Financial institution borrowings</t>
  </si>
  <si>
    <t>- Others</t>
  </si>
  <si>
    <t>Interest on obligations under lease</t>
  </si>
  <si>
    <t>Depreciation of property, plant and equipment</t>
  </si>
  <si>
    <t>Amortisation of intangible assets</t>
  </si>
  <si>
    <t>Contract labour charges</t>
  </si>
  <si>
    <t>Conversion charges</t>
  </si>
  <si>
    <t>Consumption of stores and spares</t>
  </si>
  <si>
    <t>Power and fuel</t>
  </si>
  <si>
    <t>Freight outward</t>
  </si>
  <si>
    <t>Legal and professional</t>
  </si>
  <si>
    <t>Rates and taxes</t>
  </si>
  <si>
    <t>Repairs and maintenance</t>
  </si>
  <si>
    <t>Buildings</t>
  </si>
  <si>
    <t>Rent</t>
  </si>
  <si>
    <t>Traveling and conveyance</t>
  </si>
  <si>
    <t>Insurance</t>
  </si>
  <si>
    <t>Printing and Stationery</t>
  </si>
  <si>
    <t>Communication expenses</t>
  </si>
  <si>
    <t>Security charges</t>
  </si>
  <si>
    <t>Selling and advertisement</t>
  </si>
  <si>
    <t>Corporate social responsibility</t>
  </si>
  <si>
    <t>Bank charges</t>
  </si>
  <si>
    <t>Loss allowance on receivables</t>
  </si>
  <si>
    <t>Warehouse and segregation charges</t>
  </si>
  <si>
    <t>Miscellaneous</t>
  </si>
  <si>
    <t>Notes</t>
  </si>
  <si>
    <t>Net foreign exchange gain</t>
  </si>
  <si>
    <t>Profit before tax (EBIT)</t>
  </si>
  <si>
    <t>Profit for the year (PAT)</t>
  </si>
  <si>
    <t>Balance sheet as on March 2025</t>
  </si>
  <si>
    <t>Central charges</t>
  </si>
  <si>
    <t>Cost of Raw material consumed</t>
  </si>
  <si>
    <t>Freight Inward</t>
  </si>
  <si>
    <t>Other Income</t>
  </si>
  <si>
    <t>Current Tax</t>
  </si>
  <si>
    <t>Jan'25</t>
  </si>
  <si>
    <t>7.Current tax</t>
  </si>
  <si>
    <t>Feb'25</t>
  </si>
  <si>
    <t>Mar'25</t>
  </si>
  <si>
    <t>Apr'25</t>
  </si>
  <si>
    <t>May'25</t>
  </si>
  <si>
    <t>Jun'25</t>
  </si>
  <si>
    <t xml:space="preserve"> Jan'25</t>
  </si>
  <si>
    <t>YTD Feb'25</t>
  </si>
  <si>
    <t>YTD Mar'25</t>
  </si>
  <si>
    <t>YTD Apr'25</t>
  </si>
  <si>
    <t>YTD May'25</t>
  </si>
  <si>
    <t>YTD Jun'25</t>
  </si>
  <si>
    <t>PreBo Statement of Profit and loss for the year Jan to June 2025 ( Amt T INR)</t>
  </si>
  <si>
    <t>PreBo Statement of Profit and loss for the year  (YTD)  June 2025 (Amt T INR)</t>
  </si>
  <si>
    <t>Amount  T 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</si>
</sst>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-* #,##0.00\ _D_M_-;\-* #,##0.00\ _D_M_-;_-* &quot;-&quot;??\ _D_M_-;_-@_-"/>
    <numFmt numFmtId="165" formatCode="_ * #,##0_ ;_ * \-#,##0_ ;_ * &quot;-&quot;??_ ;_ @_ 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</font>
    <font>
      <sz val="10"/>
      <name val="MS Sans Serif"/>
      <family val="2"/>
    </font>
    <font>
      <sz val="10"/>
      <name val="Arial"/>
      <family val="2"/>
    </font>
    <font>
      <sz val="11"/>
      <color rgb="FF22222F"/>
      <name val="Arial"/>
      <family val="2"/>
    </font>
    <font>
      <sz val="11"/>
      <color rgb="FF22222F"/>
      <name val="Arial"/>
      <family val="2"/>
    </font>
    <font>
      <sz val="11"/>
      <color theme="1"/>
      <name val="Aptos Narrow"/>
      <family val="2"/>
      <scheme val="minor"/>
    </font>
    <font>
      <sz val="11"/>
      <color theme="3" tint="0.249977111117893"/>
      <name val="Arial"/>
      <family val="2"/>
    </font>
    <font>
      <sz val="9"/>
      <color rgb="FF22222F"/>
      <name val="Arial"/>
      <family val="2"/>
    </font>
    <font>
      <sz val="10"/>
      <color theme="3" tint="0.249977111117893"/>
      <name val="Arial"/>
      <family val="2"/>
    </font>
    <font>
      <b/>
      <sz val="10"/>
      <color rgb="FF22222F"/>
      <name val="Arial"/>
      <family val="2"/>
    </font>
    <font>
      <b/>
      <sz val="10"/>
      <color theme="1"/>
      <name val="Arial"/>
      <family val="2"/>
    </font>
    <font>
      <b/>
      <sz val="9"/>
      <color rgb="FF22222F"/>
      <name val="Arial"/>
      <family val="2"/>
    </font>
    <font>
      <u/>
      <sz val="11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4" fillId="0" borderId="0"/>
    <xf numFmtId="164" fontId="5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47">
    <xf numFmtId="0" fontId="0" fillId="0" borderId="0" xfId="0"/>
    <xf numFmtId="0" fontId="2" fillId="3" borderId="0" xfId="0" applyFont="1" applyFill="1" applyAlignment="1">
      <alignment horizontal="left" vertical="center"/>
    </xf>
    <xf numFmtId="0" fontId="7" fillId="3" borderId="1" xfId="0" applyFont="1" applyFill="1" applyBorder="1" applyAlignment="1">
      <alignment horizontal="left" vertical="center" indent="2"/>
    </xf>
    <xf numFmtId="0" fontId="7" fillId="2" borderId="1" xfId="0" applyFont="1" applyFill="1" applyBorder="1" applyAlignment="1">
      <alignment horizontal="left" vertical="center" indent="2"/>
    </xf>
    <xf numFmtId="0" fontId="0" fillId="0" borderId="1" xfId="0" applyBorder="1"/>
    <xf numFmtId="0" fontId="6" fillId="4" borderId="1" xfId="0" applyFont="1" applyFill="1" applyBorder="1" applyAlignment="1">
      <alignment horizontal="left" vertical="center" indent="2"/>
    </xf>
    <xf numFmtId="0" fontId="10" fillId="3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 indent="2"/>
    </xf>
    <xf numFmtId="0" fontId="11" fillId="2" borderId="1" xfId="0" applyFont="1" applyFill="1" applyBorder="1" applyAlignment="1">
      <alignment horizontal="left" vertical="center" indent="2"/>
    </xf>
    <xf numFmtId="0" fontId="12" fillId="5" borderId="1" xfId="0" applyFont="1" applyFill="1" applyBorder="1" applyAlignment="1">
      <alignment horizontal="left" vertical="center" indent="2"/>
    </xf>
    <xf numFmtId="0" fontId="2" fillId="0" borderId="1" xfId="0" applyFont="1" applyBorder="1"/>
    <xf numFmtId="0" fontId="2" fillId="5" borderId="1" xfId="0" applyFont="1" applyFill="1" applyBorder="1"/>
    <xf numFmtId="0" fontId="0" fillId="5" borderId="1" xfId="0" applyFill="1" applyBorder="1"/>
    <xf numFmtId="0" fontId="0" fillId="0" borderId="1" xfId="0" applyBorder="1" applyAlignment="1">
      <alignment horizontal="left" indent="1"/>
    </xf>
    <xf numFmtId="0" fontId="0" fillId="0" borderId="1" xfId="0" applyBorder="1" applyAlignment="1">
      <alignment horizontal="center"/>
    </xf>
    <xf numFmtId="165" fontId="0" fillId="0" borderId="1" xfId="1" applyNumberFormat="1" applyFont="1" applyBorder="1"/>
    <xf numFmtId="165" fontId="2" fillId="0" borderId="1" xfId="1" applyNumberFormat="1" applyFont="1" applyBorder="1"/>
    <xf numFmtId="165" fontId="2" fillId="5" borderId="1" xfId="1" applyNumberFormat="1" applyFont="1" applyFill="1" applyBorder="1"/>
    <xf numFmtId="165" fontId="0" fillId="0" borderId="1" xfId="1" applyNumberFormat="1" applyFont="1" applyBorder="1" applyAlignment="1">
      <alignment horizontal="left" indent="1"/>
    </xf>
    <xf numFmtId="165" fontId="0" fillId="0" borderId="1" xfId="1" applyNumberFormat="1" applyFont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165" fontId="0" fillId="5" borderId="1" xfId="1" applyNumberFormat="1" applyFont="1" applyFill="1" applyBorder="1"/>
    <xf numFmtId="0" fontId="14" fillId="3" borderId="1" xfId="0" applyFont="1" applyFill="1" applyBorder="1" applyAlignment="1">
      <alignment horizontal="left" vertical="center"/>
    </xf>
    <xf numFmtId="165" fontId="12" fillId="5" borderId="1" xfId="1" applyNumberFormat="1" applyFont="1" applyFill="1" applyBorder="1" applyAlignment="1">
      <alignment horizontal="left" vertical="center" indent="2"/>
    </xf>
    <xf numFmtId="165" fontId="7" fillId="3" borderId="1" xfId="1" applyNumberFormat="1" applyFont="1" applyFill="1" applyBorder="1" applyAlignment="1">
      <alignment horizontal="right" vertical="center" wrapText="1"/>
    </xf>
    <xf numFmtId="165" fontId="7" fillId="2" borderId="1" xfId="1" applyNumberFormat="1" applyFont="1" applyFill="1" applyBorder="1" applyAlignment="1">
      <alignment horizontal="right" vertical="center" wrapText="1"/>
    </xf>
    <xf numFmtId="165" fontId="9" fillId="3" borderId="1" xfId="1" applyNumberFormat="1" applyFont="1" applyFill="1" applyBorder="1" applyAlignment="1">
      <alignment horizontal="right" vertical="center" wrapText="1"/>
    </xf>
    <xf numFmtId="165" fontId="9" fillId="2" borderId="1" xfId="1" applyNumberFormat="1" applyFont="1" applyFill="1" applyBorder="1" applyAlignment="1">
      <alignment horizontal="right" vertical="center" wrapText="1"/>
    </xf>
    <xf numFmtId="165" fontId="6" fillId="4" borderId="1" xfId="1" applyNumberFormat="1" applyFont="1" applyFill="1" applyBorder="1" applyAlignment="1">
      <alignment horizontal="right" vertical="center" wrapText="1"/>
    </xf>
    <xf numFmtId="165" fontId="0" fillId="2" borderId="1" xfId="1" applyNumberFormat="1" applyFont="1" applyFill="1" applyBorder="1" applyAlignment="1">
      <alignment horizontal="right" vertical="center" wrapText="1"/>
    </xf>
    <xf numFmtId="165" fontId="8" fillId="2" borderId="1" xfId="1" applyNumberFormat="1" applyFont="1" applyFill="1" applyBorder="1" applyAlignment="1">
      <alignment horizontal="right" vertical="center" wrapText="1"/>
    </xf>
    <xf numFmtId="165" fontId="0" fillId="3" borderId="1" xfId="1" applyNumberFormat="1" applyFont="1" applyFill="1" applyBorder="1" applyAlignment="1">
      <alignment horizontal="right" vertical="center" wrapText="1"/>
    </xf>
    <xf numFmtId="165" fontId="0" fillId="0" borderId="0" xfId="1" applyNumberFormat="1" applyFont="1" applyAlignment="1">
      <alignment horizontal="right"/>
    </xf>
    <xf numFmtId="165" fontId="2" fillId="3" borderId="0" xfId="0" applyNumberFormat="1" applyFont="1" applyFill="1" applyAlignment="1">
      <alignment horizontal="left" vertical="center"/>
    </xf>
    <xf numFmtId="0" fontId="0" fillId="6" borderId="0" xfId="0" applyFill="1"/>
    <xf numFmtId="165" fontId="0" fillId="6" borderId="0" xfId="1" applyNumberFormat="1" applyFont="1" applyFill="1" applyAlignment="1">
      <alignment horizontal="right"/>
    </xf>
    <xf numFmtId="165" fontId="0" fillId="6" borderId="0" xfId="1" applyNumberFormat="1" applyFont="1" applyFill="1"/>
    <xf numFmtId="165" fontId="2" fillId="6" borderId="0" xfId="1" applyNumberFormat="1" applyFont="1" applyFill="1" applyBorder="1"/>
    <xf numFmtId="165" fontId="0" fillId="6" borderId="0" xfId="1" applyNumberFormat="1" applyFont="1" applyFill="1" applyBorder="1"/>
    <xf numFmtId="0" fontId="15" fillId="0" borderId="1" xfId="10" applyBorder="1" applyAlignment="1">
      <alignment horizontal="center"/>
    </xf>
    <xf numFmtId="0" fontId="2" fillId="5" borderId="3" xfId="0" applyFont="1" applyFill="1" applyBorder="1"/>
    <xf numFmtId="0" fontId="13" fillId="5" borderId="2" xfId="0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0" fontId="13" fillId="5" borderId="3" xfId="0" applyFont="1" applyFill="1" applyBorder="1" applyAlignment="1">
      <alignment horizontal="center"/>
    </xf>
    <xf numFmtId="0" fontId="13" fillId="5" borderId="4" xfId="0" applyFont="1" applyFill="1" applyBorder="1" applyAlignment="1">
      <alignment horizontal="left"/>
    </xf>
    <xf numFmtId="0" fontId="13" fillId="5" borderId="3" xfId="0" applyFont="1" applyFill="1" applyBorder="1" applyAlignment="1">
      <alignment horizontal="left"/>
    </xf>
    <xf numFmtId="165" fontId="2" fillId="5" borderId="3" xfId="1" applyNumberFormat="1" applyFont="1" applyFill="1" applyBorder="1" applyAlignment="1"/>
  </cellXfs>
  <cellStyles count="11">
    <cellStyle name="Comma" xfId="1" builtinId="3"/>
    <cellStyle name="Comma 2" xfId="4" xr:uid="{7CED55D7-C387-415E-9410-8F78E2CB5B48}"/>
    <cellStyle name="Hyperlink" xfId="10" builtinId="8"/>
    <cellStyle name="Komma 2 2" xfId="9" xr:uid="{C0B0F65B-EF20-45DD-B401-347C58CFA3A8}"/>
    <cellStyle name="Normal" xfId="0" builtinId="0"/>
    <cellStyle name="Normal 2" xfId="2" xr:uid="{B8CB4FEF-7B42-45F2-8560-E1A5E4AD0727}"/>
    <cellStyle name="Percent 2" xfId="8" xr:uid="{ACC650F5-B3BC-45DD-8191-2E31804984A1}"/>
    <cellStyle name="Prozent 2 2" xfId="7" xr:uid="{AB8F14DF-9B93-4012-85BD-A3475161FE28}"/>
    <cellStyle name="Standard 10" xfId="5" xr:uid="{1A093355-3518-42FE-91EC-670D5B5A982E}"/>
    <cellStyle name="Standard 17" xfId="6" xr:uid="{4D784F85-1741-4313-8B81-124286970EE4}"/>
    <cellStyle name="Standard_ERGEBNIS" xfId="3" xr:uid="{1A5FB728-1110-43DF-8B6E-47BDE0ECF9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590894</xdr:colOff>
      <xdr:row>17</xdr:row>
      <xdr:rowOff>165269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285CE7-ABC8-3EA7-3CF3-76FDFAD4A8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86894" cy="3295819"/>
        </a:xfrm>
        <a:prstGeom prst="rect">
          <a:avLst/>
        </a:prstGeom>
      </xdr:spPr>
    </xdr:pic>
    <xdr:clientData/>
  </xdr:twoCellAnchor>
  <xdr:twoCellAnchor editAs="oneCell">
    <xdr:from>
      <xdr:col>0</xdr:col>
      <xdr:colOff>82550</xdr:colOff>
      <xdr:row>17</xdr:row>
      <xdr:rowOff>38100</xdr:rowOff>
    </xdr:from>
    <xdr:to>
      <xdr:col>10</xdr:col>
      <xdr:colOff>451182</xdr:colOff>
      <xdr:row>34</xdr:row>
      <xdr:rowOff>38261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DAB4090-472D-297E-4D41-7E6F60DC8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" y="3168650"/>
          <a:ext cx="6464632" cy="313071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Finance/02_February/03_Reporting/10505_MB_2025_01_PreBo_Dec_2025_workings_v1_Final.xlsm" TargetMode="External"/><Relationship Id="rId2" Type="http://schemas.openxmlformats.org/officeDocument/2006/relationships/externalLinkPath" Target="file:///C:\Users\lakshminarayana.rach\Desktop\Finance\02_February\03_Reporting\10505_MB_2025_01_PreBo_Dec_2025_workings_v1_Final.xlsm" TargetMode="External"/><Relationship Id="rId1" Type="http://schemas.openxmlformats.org/officeDocument/2006/relationships/externalLinkPath" Target="/Users/lakshminarayana.rach/Desktop/Finance/02_February/03_Reporting/10505_MB_2025_01_PreBo_Dec_2025_workings_v1_Fina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ster"/>
      <sheetName val="Translator"/>
      <sheetName val="Information"/>
      <sheetName val="Check"/>
      <sheetName val="Transfer"/>
      <sheetName val="P&amp;L LocCur"/>
      <sheetName val="P&amp;L FlexCur"/>
      <sheetName val="P&amp;L kum"/>
      <sheetName val="P&amp;L kum_EUR"/>
      <sheetName val="Personal LocCur"/>
      <sheetName val="Bilanz LocCur"/>
      <sheetName val="Bilanz FlexCur"/>
      <sheetName val="Bewegungsbilanz LocCur"/>
      <sheetName val="Bewegungsbilanz EUR"/>
      <sheetName val="Cash Flow LocCur"/>
      <sheetName val="Cash Flow FlexCur"/>
      <sheetName val="P&amp;L Plan"/>
      <sheetName val="P&amp;L kum Plan"/>
      <sheetName val="Personal Plan"/>
      <sheetName val="Bilanz Plan"/>
      <sheetName val="Report LocCur"/>
      <sheetName val="Report FlexCur"/>
      <sheetName val="AccountList"/>
      <sheetName val="InputAccounting"/>
      <sheetName val="PivotCheck"/>
      <sheetName val="InputFC_P&amp;L"/>
      <sheetName val="InputFC_Balance"/>
      <sheetName val="PlausiReport"/>
      <sheetName val="PlausiBridge"/>
      <sheetName val="Transfer_Formel"/>
    </sheetNames>
    <sheetDataSet>
      <sheetData sheetId="0"/>
      <sheetData sheetId="1"/>
      <sheetData sheetId="2"/>
      <sheetData sheetId="3"/>
      <sheetData sheetId="4"/>
      <sheetData sheetId="5">
        <row r="9">
          <cell r="V9">
            <v>1</v>
          </cell>
          <cell r="W9">
            <v>2</v>
          </cell>
          <cell r="X9">
            <v>3</v>
          </cell>
          <cell r="Y9">
            <v>4</v>
          </cell>
          <cell r="Z9">
            <v>5</v>
          </cell>
          <cell r="AA9">
            <v>6</v>
          </cell>
        </row>
        <row r="11">
          <cell r="A11" t="str">
            <v>Particulars</v>
          </cell>
          <cell r="V11">
            <v>45658</v>
          </cell>
          <cell r="W11">
            <v>45689</v>
          </cell>
          <cell r="X11">
            <v>45717</v>
          </cell>
          <cell r="Y11">
            <v>45748</v>
          </cell>
          <cell r="Z11">
            <v>45778</v>
          </cell>
          <cell r="AA11">
            <v>45809</v>
          </cell>
        </row>
        <row r="12">
          <cell r="A12" t="str">
            <v>Sale of products</v>
          </cell>
          <cell r="V12">
            <v>110109.39745</v>
          </cell>
          <cell r="W12">
            <v>109935.00236</v>
          </cell>
          <cell r="X12">
            <v>116566.58245999998</v>
          </cell>
          <cell r="Y12">
            <v>110770.68526</v>
          </cell>
          <cell r="Z12">
            <v>118799.90049000003</v>
          </cell>
          <cell r="AA12">
            <v>109395.30581000005</v>
          </cell>
        </row>
        <row r="13"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</row>
        <row r="14">
          <cell r="V14">
            <v>110109.39745</v>
          </cell>
          <cell r="W14">
            <v>109935.00236</v>
          </cell>
          <cell r="X14">
            <v>116566.58245999998</v>
          </cell>
          <cell r="Y14">
            <v>110770.68526</v>
          </cell>
          <cell r="Z14">
            <v>118799.90049000003</v>
          </cell>
          <cell r="AA14">
            <v>109395.30581000005</v>
          </cell>
        </row>
        <row r="15"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</row>
        <row r="16"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</row>
        <row r="17">
          <cell r="V17">
            <v>110109.39745</v>
          </cell>
          <cell r="W17">
            <v>109935.00236</v>
          </cell>
          <cell r="X17">
            <v>116566.58245999998</v>
          </cell>
          <cell r="Y17">
            <v>110770.68526</v>
          </cell>
          <cell r="Z17">
            <v>118799.90049000003</v>
          </cell>
          <cell r="AA17">
            <v>109395.30581000005</v>
          </cell>
        </row>
        <row r="18">
          <cell r="A18" t="str">
            <v>Changes in inventories of finished goods and work-in-progress</v>
          </cell>
          <cell r="V18">
            <v>1506.7199199999995</v>
          </cell>
          <cell r="W18">
            <v>448.60901000000013</v>
          </cell>
          <cell r="X18">
            <v>13077.357369999998</v>
          </cell>
          <cell r="Y18">
            <v>5133.4489300000023</v>
          </cell>
          <cell r="Z18">
            <v>-24324.98315</v>
          </cell>
          <cell r="AA18">
            <v>1513.9597399999993</v>
          </cell>
        </row>
        <row r="19">
          <cell r="V19">
            <v>111616.11737000001</v>
          </cell>
          <cell r="W19">
            <v>110383.61137</v>
          </cell>
          <cell r="X19">
            <v>129643.93982999997</v>
          </cell>
          <cell r="Y19">
            <v>115904.13419</v>
          </cell>
          <cell r="Z19">
            <v>94474.917340000029</v>
          </cell>
          <cell r="AA19">
            <v>110909.26555000005</v>
          </cell>
        </row>
        <row r="20">
          <cell r="V20">
            <v>-77326.651830000032</v>
          </cell>
          <cell r="W20">
            <v>-62320.900229999985</v>
          </cell>
          <cell r="X20">
            <v>-66183.547839999956</v>
          </cell>
          <cell r="Y20">
            <v>-67484.284129999985</v>
          </cell>
          <cell r="Z20">
            <v>-79292.111999999965</v>
          </cell>
          <cell r="AA20">
            <v>-73338.546060000022</v>
          </cell>
        </row>
        <row r="21"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</row>
        <row r="22">
          <cell r="V22">
            <v>-77326.651830000032</v>
          </cell>
          <cell r="W22">
            <v>-62320.900229999985</v>
          </cell>
          <cell r="X22">
            <v>-66183.547839999956</v>
          </cell>
          <cell r="Y22">
            <v>-67484.284129999985</v>
          </cell>
          <cell r="Z22">
            <v>-79292.111999999965</v>
          </cell>
          <cell r="AA22">
            <v>-73338.546060000022</v>
          </cell>
        </row>
        <row r="23">
          <cell r="V23">
            <v>16785.60100000001</v>
          </cell>
          <cell r="W23">
            <v>-10839.138000000006</v>
          </cell>
          <cell r="X23">
            <v>-17180.950489999996</v>
          </cell>
          <cell r="Y23">
            <v>-2528.3010100000029</v>
          </cell>
          <cell r="Z23">
            <v>22553.928279999993</v>
          </cell>
          <cell r="AA23">
            <v>8065.892960000012</v>
          </cell>
        </row>
        <row r="24">
          <cell r="A24" t="str">
            <v>Cost of Raw material consumed</v>
          </cell>
          <cell r="V24">
            <v>-60541.050830000022</v>
          </cell>
          <cell r="W24">
            <v>-73160.038230000006</v>
          </cell>
          <cell r="X24">
            <v>-83364.498329999944</v>
          </cell>
          <cell r="Y24">
            <v>-70012.58514000001</v>
          </cell>
          <cell r="Z24">
            <v>-56738.183719999972</v>
          </cell>
          <cell r="AA24">
            <v>-65272.653099999996</v>
          </cell>
        </row>
        <row r="25">
          <cell r="V25">
            <v>0.54240419982815258</v>
          </cell>
          <cell r="W25">
            <v>0.66277989388090819</v>
          </cell>
          <cell r="X25">
            <v>0.64302657292978349</v>
          </cell>
          <cell r="Y25">
            <v>0.60405597806571232</v>
          </cell>
          <cell r="Z25">
            <v>0.60056346507092861</v>
          </cell>
          <cell r="AA25">
            <v>0.5885229946868038</v>
          </cell>
        </row>
        <row r="26">
          <cell r="V26">
            <v>51075.066539999985</v>
          </cell>
          <cell r="W26">
            <v>37223.573139999993</v>
          </cell>
          <cell r="X26">
            <v>46279.44150000003</v>
          </cell>
          <cell r="Y26">
            <v>45891.549049999987</v>
          </cell>
          <cell r="Z26">
            <v>37736.733620000057</v>
          </cell>
          <cell r="AA26">
            <v>45636.612450000059</v>
          </cell>
        </row>
        <row r="27">
          <cell r="V27">
            <v>-9195.9044631849101</v>
          </cell>
          <cell r="W27">
            <v>-9195.9044631849101</v>
          </cell>
          <cell r="X27">
            <v>-11195.90446318491</v>
          </cell>
          <cell r="Y27">
            <v>-11298</v>
          </cell>
          <cell r="Z27">
            <v>-10843</v>
          </cell>
          <cell r="AA27">
            <v>-9984</v>
          </cell>
        </row>
        <row r="28">
          <cell r="V28">
            <v>-719.82853161290302</v>
          </cell>
          <cell r="W28">
            <v>-719.82853161290302</v>
          </cell>
          <cell r="X28">
            <v>-919.82853161290291</v>
          </cell>
          <cell r="Y28">
            <v>-719.82853161290313</v>
          </cell>
          <cell r="Z28">
            <v>-719.82853161290313</v>
          </cell>
          <cell r="AA28">
            <v>-719.82853161290268</v>
          </cell>
        </row>
        <row r="29">
          <cell r="A29" t="str">
            <v>Salaries and wages</v>
          </cell>
          <cell r="V29">
            <v>-9915.7329947978124</v>
          </cell>
          <cell r="W29">
            <v>-9915.7329947978124</v>
          </cell>
          <cell r="X29">
            <v>-12115.732994797812</v>
          </cell>
          <cell r="Y29">
            <v>-12017.828531612904</v>
          </cell>
          <cell r="Z29">
            <v>-11562.828531612904</v>
          </cell>
          <cell r="AA29">
            <v>-10703.828531612902</v>
          </cell>
        </row>
        <row r="30">
          <cell r="A30" t="str">
            <v>Salaries and wages</v>
          </cell>
          <cell r="V30">
            <v>-3993.0957400000002</v>
          </cell>
          <cell r="W30">
            <v>-2073.8469000000009</v>
          </cell>
          <cell r="X30">
            <v>-5275.4298200000012</v>
          </cell>
          <cell r="Y30">
            <v>-7645.3689599999998</v>
          </cell>
          <cell r="Z30">
            <v>-4587.6442199999983</v>
          </cell>
          <cell r="AA30">
            <v>-2899.8712999999989</v>
          </cell>
        </row>
        <row r="31">
          <cell r="A31" t="str">
            <v>Freight Inward</v>
          </cell>
          <cell r="V31">
            <v>-2849.2233700000002</v>
          </cell>
          <cell r="W31">
            <v>-1593.0533300000002</v>
          </cell>
          <cell r="X31">
            <v>-2557.0301199999994</v>
          </cell>
          <cell r="Y31">
            <v>-2112.830109999999</v>
          </cell>
          <cell r="Z31">
            <v>-2860.9480600000006</v>
          </cell>
          <cell r="AA31">
            <v>-2813.9450699999998</v>
          </cell>
        </row>
        <row r="32">
          <cell r="A32" t="str">
            <v>Freight Inward</v>
          </cell>
          <cell r="V32">
            <v>-379.76159999999999</v>
          </cell>
          <cell r="W32">
            <v>-610.92932999999994</v>
          </cell>
          <cell r="X32">
            <v>-1236.1851400000003</v>
          </cell>
          <cell r="Y32">
            <v>-415.25995999999986</v>
          </cell>
          <cell r="Z32">
            <v>-91.552869999999984</v>
          </cell>
          <cell r="AA32">
            <v>-1584.99935</v>
          </cell>
        </row>
        <row r="33">
          <cell r="V33">
            <v>33937.252835202176</v>
          </cell>
          <cell r="W33">
            <v>23030.010585202181</v>
          </cell>
          <cell r="X33">
            <v>25095.063425202214</v>
          </cell>
          <cell r="Y33">
            <v>23700.261488387085</v>
          </cell>
          <cell r="Z33">
            <v>18633.759938387157</v>
          </cell>
          <cell r="AA33">
            <v>27633.968198387156</v>
          </cell>
        </row>
        <row r="34">
          <cell r="A34" t="str">
            <v>Salaries and wages</v>
          </cell>
          <cell r="V34">
            <v>-850</v>
          </cell>
          <cell r="W34">
            <v>-850</v>
          </cell>
          <cell r="X34">
            <v>-1050</v>
          </cell>
          <cell r="Y34">
            <v>-850</v>
          </cell>
          <cell r="Z34">
            <v>-850</v>
          </cell>
          <cell r="AA34">
            <v>-850</v>
          </cell>
        </row>
        <row r="35">
          <cell r="A35" t="str">
            <v>Salaries and wages</v>
          </cell>
          <cell r="V35">
            <v>-932.96082000000001</v>
          </cell>
          <cell r="W35">
            <v>-959.11860000000001</v>
          </cell>
          <cell r="X35">
            <v>-1159.1185999999998</v>
          </cell>
          <cell r="Y35">
            <v>-959.11860000000024</v>
          </cell>
          <cell r="Z35">
            <v>-959.11860000000024</v>
          </cell>
          <cell r="AA35">
            <v>-959.11859999999979</v>
          </cell>
        </row>
        <row r="36">
          <cell r="A36" t="str">
            <v>Rent</v>
          </cell>
          <cell r="V36">
            <v>-1520.2249999999999</v>
          </cell>
          <cell r="W36">
            <v>-1520.2249999999999</v>
          </cell>
          <cell r="X36">
            <v>-1580.2249999999995</v>
          </cell>
          <cell r="Y36">
            <v>-1520.1999999999998</v>
          </cell>
          <cell r="Z36">
            <v>-1536.0500000000002</v>
          </cell>
          <cell r="AA36">
            <v>-1415.8250000000007</v>
          </cell>
        </row>
        <row r="37"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</row>
        <row r="38"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</row>
        <row r="39">
          <cell r="A39" t="str">
            <v>Power and fuel</v>
          </cell>
          <cell r="V39">
            <v>-1682.8138000000001</v>
          </cell>
          <cell r="W39">
            <v>-1614.0816599999996</v>
          </cell>
          <cell r="X39">
            <v>-1500.576</v>
          </cell>
          <cell r="Y39">
            <v>-1473.4390000000003</v>
          </cell>
          <cell r="Z39">
            <v>-1325.1668</v>
          </cell>
          <cell r="AA39">
            <v>-1584.1059999999998</v>
          </cell>
        </row>
        <row r="40"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</row>
        <row r="41"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</row>
        <row r="42"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</row>
        <row r="43"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</row>
        <row r="44"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</row>
        <row r="45"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</row>
        <row r="46">
          <cell r="V46">
            <v>-3203.0388000000003</v>
          </cell>
          <cell r="W46">
            <v>-3134.3066599999993</v>
          </cell>
          <cell r="X46">
            <v>-3080.8009999999995</v>
          </cell>
          <cell r="Y46">
            <v>-2993.6390000000001</v>
          </cell>
          <cell r="Z46">
            <v>-2861.2168000000001</v>
          </cell>
          <cell r="AA46">
            <v>-2999.9310000000005</v>
          </cell>
        </row>
        <row r="47">
          <cell r="A47" t="str">
            <v>Buildings</v>
          </cell>
          <cell r="V47">
            <v>-1681.1453199999999</v>
          </cell>
          <cell r="W47">
            <v>-772.7317700000001</v>
          </cell>
          <cell r="X47">
            <v>-1133.7589699999994</v>
          </cell>
          <cell r="Y47">
            <v>-606.16896999999926</v>
          </cell>
          <cell r="Z47">
            <v>-120</v>
          </cell>
          <cell r="AA47">
            <v>-200</v>
          </cell>
        </row>
        <row r="48">
          <cell r="A48" t="str">
            <v>Rent</v>
          </cell>
          <cell r="V48">
            <v>-60</v>
          </cell>
          <cell r="W48">
            <v>-60</v>
          </cell>
          <cell r="X48">
            <v>-60</v>
          </cell>
          <cell r="Y48">
            <v>-60</v>
          </cell>
          <cell r="Z48">
            <v>-60</v>
          </cell>
          <cell r="AA48">
            <v>-60</v>
          </cell>
        </row>
        <row r="49"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</row>
        <row r="50"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</row>
        <row r="51">
          <cell r="V51">
            <v>-60</v>
          </cell>
          <cell r="W51">
            <v>-60</v>
          </cell>
          <cell r="X51">
            <v>-60</v>
          </cell>
          <cell r="Y51">
            <v>-60</v>
          </cell>
          <cell r="Z51">
            <v>-60</v>
          </cell>
          <cell r="AA51">
            <v>-60</v>
          </cell>
        </row>
        <row r="52">
          <cell r="A52" t="str">
            <v>Depreciation of property, plant and equipment</v>
          </cell>
          <cell r="V52">
            <v>-2422.7710657730495</v>
          </cell>
          <cell r="W52">
            <v>-2537.8963488590962</v>
          </cell>
          <cell r="X52">
            <v>862.96298103858135</v>
          </cell>
          <cell r="Y52">
            <v>-5664.398682746556</v>
          </cell>
          <cell r="Z52">
            <v>-2497.3773986306915</v>
          </cell>
          <cell r="AA52">
            <v>344.55000000000291</v>
          </cell>
        </row>
        <row r="53"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</row>
        <row r="54"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</row>
        <row r="55"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</row>
        <row r="56"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</row>
        <row r="57"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</row>
        <row r="58">
          <cell r="V58">
            <v>-9149.9160057730496</v>
          </cell>
          <cell r="W58">
            <v>-8314.0533788590947</v>
          </cell>
          <cell r="X58">
            <v>-5620.7155889614169</v>
          </cell>
          <cell r="Y58">
            <v>-11133.325252746554</v>
          </cell>
          <cell r="Z58">
            <v>-7347.7127986306914</v>
          </cell>
          <cell r="AA58">
            <v>-4724.4995999999974</v>
          </cell>
        </row>
        <row r="59">
          <cell r="V59">
            <v>24787.336829429129</v>
          </cell>
          <cell r="W59">
            <v>14715.957206343086</v>
          </cell>
          <cell r="X59">
            <v>19474.347836240799</v>
          </cell>
          <cell r="Y59">
            <v>12566.936235640531</v>
          </cell>
          <cell r="Z59">
            <v>11286.047139756465</v>
          </cell>
          <cell r="AA59">
            <v>22909.46859838716</v>
          </cell>
        </row>
        <row r="60"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</row>
        <row r="61"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</row>
        <row r="62">
          <cell r="A62" t="str">
            <v>Changes in inventories of finished goods and work-in-progress</v>
          </cell>
          <cell r="V62">
            <v>89.640000000000015</v>
          </cell>
          <cell r="W62">
            <v>-20.213120000000004</v>
          </cell>
          <cell r="X62">
            <v>18.834199999999981</v>
          </cell>
          <cell r="Y62">
            <v>1.3789200000000221</v>
          </cell>
          <cell r="Z62">
            <v>0</v>
          </cell>
          <cell r="AA62">
            <v>-20.849119999999999</v>
          </cell>
        </row>
        <row r="63"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</row>
        <row r="64">
          <cell r="A64" t="str">
            <v>Salaries and wages</v>
          </cell>
          <cell r="V64">
            <v>-705.43173999999999</v>
          </cell>
          <cell r="W64">
            <v>-705.43173999999999</v>
          </cell>
          <cell r="X64">
            <v>-1205.43174</v>
          </cell>
          <cell r="Y64">
            <v>-705.43173999999999</v>
          </cell>
          <cell r="Z64">
            <v>-823</v>
          </cell>
          <cell r="AA64">
            <v>-705</v>
          </cell>
        </row>
        <row r="65">
          <cell r="V65">
            <v>-615.79174</v>
          </cell>
          <cell r="W65">
            <v>-725.64485999999999</v>
          </cell>
          <cell r="X65">
            <v>-1186.59754</v>
          </cell>
          <cell r="Y65">
            <v>-704.05282</v>
          </cell>
          <cell r="Z65">
            <v>-823</v>
          </cell>
          <cell r="AA65">
            <v>-725.84911999999997</v>
          </cell>
        </row>
        <row r="66">
          <cell r="A66" t="str">
            <v>Salaries and wages</v>
          </cell>
          <cell r="V66">
            <v>-50</v>
          </cell>
          <cell r="W66">
            <v>-85</v>
          </cell>
          <cell r="X66">
            <v>-235</v>
          </cell>
          <cell r="Y66">
            <v>-85</v>
          </cell>
          <cell r="Z66">
            <v>-85</v>
          </cell>
          <cell r="AA66">
            <v>-85</v>
          </cell>
        </row>
        <row r="67"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</row>
        <row r="68">
          <cell r="V68">
            <v>-50</v>
          </cell>
          <cell r="W68">
            <v>-85</v>
          </cell>
          <cell r="X68">
            <v>-235</v>
          </cell>
          <cell r="Y68">
            <v>-85</v>
          </cell>
          <cell r="Z68">
            <v>-85</v>
          </cell>
          <cell r="AA68">
            <v>-85</v>
          </cell>
        </row>
        <row r="69">
          <cell r="A69" t="str">
            <v>Salaries and wages</v>
          </cell>
          <cell r="V69">
            <v>-2495.672</v>
          </cell>
          <cell r="W69">
            <v>-2270.154</v>
          </cell>
          <cell r="X69">
            <v>-4770.1539999999995</v>
          </cell>
          <cell r="Y69">
            <v>-2270.1540000000005</v>
          </cell>
          <cell r="Z69">
            <v>-2270.1540000000005</v>
          </cell>
          <cell r="AA69">
            <v>-2270.1540000000005</v>
          </cell>
        </row>
        <row r="70">
          <cell r="A70" t="str">
            <v>Salaries and wages</v>
          </cell>
          <cell r="V70">
            <v>-75</v>
          </cell>
          <cell r="W70">
            <v>-750</v>
          </cell>
          <cell r="X70">
            <v>-760.93899999999985</v>
          </cell>
          <cell r="Y70">
            <v>-760.93899999999985</v>
          </cell>
          <cell r="Z70">
            <v>-760.93899999999985</v>
          </cell>
          <cell r="AA70">
            <v>-760.93899999999985</v>
          </cell>
        </row>
        <row r="71">
          <cell r="A71" t="str">
            <v>Legal and professional</v>
          </cell>
          <cell r="V71">
            <v>-9.5250000000000004</v>
          </cell>
          <cell r="W71">
            <v>-173.4</v>
          </cell>
          <cell r="X71">
            <v>-405.59679999999997</v>
          </cell>
          <cell r="Y71">
            <v>-164.58299999999997</v>
          </cell>
          <cell r="Z71">
            <v>-141.76599999999996</v>
          </cell>
          <cell r="AA71">
            <v>-151</v>
          </cell>
        </row>
        <row r="72"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</row>
        <row r="73"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</row>
        <row r="74"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</row>
        <row r="75"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</row>
        <row r="76"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</row>
        <row r="77">
          <cell r="A77" t="str">
            <v>Central charges</v>
          </cell>
          <cell r="V77">
            <v>-388.46987000000001</v>
          </cell>
          <cell r="W77">
            <v>-37.553280000000029</v>
          </cell>
          <cell r="X77">
            <v>-23.451449999999966</v>
          </cell>
          <cell r="Y77">
            <v>-41.70999999999998</v>
          </cell>
          <cell r="Z77">
            <v>-287.24000000000007</v>
          </cell>
          <cell r="AA77">
            <v>-469.01891000000001</v>
          </cell>
        </row>
        <row r="78">
          <cell r="V78">
            <v>-388.46987000000001</v>
          </cell>
          <cell r="W78">
            <v>-37.553280000000029</v>
          </cell>
          <cell r="X78">
            <v>-23.451449999999966</v>
          </cell>
          <cell r="Y78">
            <v>-41.70999999999998</v>
          </cell>
          <cell r="Z78">
            <v>-287.24000000000007</v>
          </cell>
          <cell r="AA78">
            <v>-469.01891000000001</v>
          </cell>
        </row>
        <row r="79">
          <cell r="A79" t="str">
            <v>Communication expenses</v>
          </cell>
          <cell r="V79">
            <v>-107.77766</v>
          </cell>
          <cell r="W79">
            <v>-31.616000000000014</v>
          </cell>
          <cell r="X79">
            <v>-30.375519999999995</v>
          </cell>
          <cell r="Y79">
            <v>-119.93099999999998</v>
          </cell>
          <cell r="Z79">
            <v>-44.658219999999972</v>
          </cell>
          <cell r="AA79">
            <v>-65.885820000000024</v>
          </cell>
        </row>
        <row r="80">
          <cell r="V80">
            <v>-3076.4445300000002</v>
          </cell>
          <cell r="W80">
            <v>-3262.7232800000002</v>
          </cell>
          <cell r="X80">
            <v>-5990.5167699999984</v>
          </cell>
          <cell r="Y80">
            <v>-3357.3170000000005</v>
          </cell>
          <cell r="Z80">
            <v>-3504.7572200000004</v>
          </cell>
          <cell r="AA80">
            <v>-3716.9977300000005</v>
          </cell>
        </row>
        <row r="81">
          <cell r="A81" t="str">
            <v>Depreciation of property, plant and equipment</v>
          </cell>
          <cell r="V81">
            <v>-554.78176037868252</v>
          </cell>
          <cell r="W81">
            <v>-198.68707393332988</v>
          </cell>
          <cell r="X81">
            <v>-405.92353606666984</v>
          </cell>
          <cell r="Y81">
            <v>-384.5173208607157</v>
          </cell>
          <cell r="Z81">
            <v>-560</v>
          </cell>
          <cell r="AA81">
            <v>-6259.619999999999</v>
          </cell>
        </row>
        <row r="82">
          <cell r="A82" t="str">
            <v>Vehicles</v>
          </cell>
          <cell r="V82">
            <v>-47.821899999999999</v>
          </cell>
          <cell r="W82">
            <v>-16.877479999999991</v>
          </cell>
          <cell r="X82">
            <v>-27.475729999999999</v>
          </cell>
          <cell r="Y82">
            <v>-31.2727</v>
          </cell>
          <cell r="Z82">
            <v>0</v>
          </cell>
          <cell r="AA82">
            <v>-80.282830000000004</v>
          </cell>
        </row>
        <row r="83">
          <cell r="A83" t="str">
            <v>Traveling and conveyance</v>
          </cell>
          <cell r="V83">
            <v>-124.93483999999999</v>
          </cell>
          <cell r="W83">
            <v>-528.01961000000006</v>
          </cell>
          <cell r="X83">
            <v>-222.35329999999988</v>
          </cell>
          <cell r="Y83">
            <v>-280.48389999999995</v>
          </cell>
          <cell r="Z83">
            <v>-322.28629999999998</v>
          </cell>
          <cell r="AA83">
            <v>-118.07750999999985</v>
          </cell>
        </row>
        <row r="84">
          <cell r="A84" t="str">
            <v>Insurance</v>
          </cell>
          <cell r="V84">
            <v>-200.12378000000001</v>
          </cell>
          <cell r="W84">
            <v>-25.259000000000015</v>
          </cell>
          <cell r="X84">
            <v>-628.59900000000005</v>
          </cell>
          <cell r="Y84">
            <v>-250</v>
          </cell>
          <cell r="Z84">
            <v>-109.82078000000001</v>
          </cell>
          <cell r="AA84">
            <v>-233.99099999999999</v>
          </cell>
        </row>
        <row r="85">
          <cell r="A85" t="str">
            <v>Central charges</v>
          </cell>
          <cell r="V85">
            <v>-1868.8440000000001</v>
          </cell>
          <cell r="W85">
            <v>-1772.0550000000003</v>
          </cell>
          <cell r="X85">
            <v>-1868.8440000000001</v>
          </cell>
          <cell r="Y85">
            <v>-1900.2569999999996</v>
          </cell>
          <cell r="Z85">
            <v>-1900</v>
          </cell>
          <cell r="AA85">
            <v>-1900</v>
          </cell>
        </row>
        <row r="86"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</row>
        <row r="87">
          <cell r="A87" t="str">
            <v>Miscellaneous</v>
          </cell>
          <cell r="V87">
            <v>-462.12408000000005</v>
          </cell>
          <cell r="W87">
            <v>-1326.5923599999999</v>
          </cell>
          <cell r="X87">
            <v>-2871.590259999999</v>
          </cell>
          <cell r="Y87">
            <v>-2871.6902599999994</v>
          </cell>
          <cell r="Z87">
            <v>-3248.3113699999994</v>
          </cell>
          <cell r="AA87">
            <v>-1568.6665499999999</v>
          </cell>
        </row>
        <row r="88">
          <cell r="V88">
            <v>-3258.6303603786828</v>
          </cell>
          <cell r="W88">
            <v>-3867.4905239333302</v>
          </cell>
          <cell r="X88">
            <v>-6024.785826066669</v>
          </cell>
          <cell r="Y88">
            <v>-5718.2211808607144</v>
          </cell>
          <cell r="Z88">
            <v>-6140.4184499999992</v>
          </cell>
          <cell r="AA88">
            <v>-10160.63789</v>
          </cell>
        </row>
        <row r="89"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</row>
        <row r="90">
          <cell r="A90" t="str">
            <v>Other Income</v>
          </cell>
          <cell r="V90">
            <v>254.91499999999999</v>
          </cell>
          <cell r="W90">
            <v>168.73499999999999</v>
          </cell>
          <cell r="X90">
            <v>296.04700000000003</v>
          </cell>
          <cell r="Y90">
            <v>2703.018</v>
          </cell>
          <cell r="Z90">
            <v>0</v>
          </cell>
          <cell r="AA90">
            <v>0</v>
          </cell>
        </row>
        <row r="91"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</row>
        <row r="92"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</row>
        <row r="93">
          <cell r="V93">
            <v>254.91499999999999</v>
          </cell>
          <cell r="W93">
            <v>168.73499999999999</v>
          </cell>
          <cell r="X93">
            <v>296.04700000000003</v>
          </cell>
          <cell r="Y93">
            <v>2703.018</v>
          </cell>
          <cell r="Z93">
            <v>0</v>
          </cell>
          <cell r="AA93">
            <v>0</v>
          </cell>
        </row>
        <row r="94"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</row>
        <row r="95"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</row>
        <row r="96"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</row>
        <row r="97"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</row>
        <row r="98"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-655.56620333333342</v>
          </cell>
        </row>
        <row r="99"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-655.56620333333342</v>
          </cell>
        </row>
        <row r="100">
          <cell r="V100">
            <v>18041.385199050444</v>
          </cell>
          <cell r="W100">
            <v>6943.833542409755</v>
          </cell>
          <cell r="X100">
            <v>6333.494700174133</v>
          </cell>
          <cell r="Y100">
            <v>5405.3632347798148</v>
          </cell>
          <cell r="Z100">
            <v>732.87146975646556</v>
          </cell>
          <cell r="AA100">
            <v>7565.4176550538286</v>
          </cell>
        </row>
        <row r="101"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468.851</v>
          </cell>
        </row>
        <row r="102"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</row>
        <row r="103"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</row>
        <row r="104"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</row>
        <row r="105"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468.851</v>
          </cell>
        </row>
        <row r="106">
          <cell r="V106">
            <v>18041.385199050444</v>
          </cell>
          <cell r="W106">
            <v>6943.833542409755</v>
          </cell>
          <cell r="X106">
            <v>6333.494700174133</v>
          </cell>
          <cell r="Y106">
            <v>5405.3632347798148</v>
          </cell>
          <cell r="Z106">
            <v>732.87146975646556</v>
          </cell>
          <cell r="AA106">
            <v>8034.2686550538283</v>
          </cell>
        </row>
        <row r="107"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</row>
        <row r="108">
          <cell r="A108" t="str">
            <v>Miscellaneous</v>
          </cell>
          <cell r="V108">
            <v>-6.8515999999999995</v>
          </cell>
          <cell r="W108">
            <v>-0.63010000000000055</v>
          </cell>
          <cell r="X108">
            <v>-12.4267</v>
          </cell>
          <cell r="Y108">
            <v>-7.9534999999999982</v>
          </cell>
          <cell r="Z108">
            <v>-7.7999999999999972</v>
          </cell>
          <cell r="AA108">
            <v>-20.020000000000003</v>
          </cell>
        </row>
        <row r="109">
          <cell r="V109">
            <v>-6.8515999999999995</v>
          </cell>
          <cell r="W109">
            <v>-0.63010000000000055</v>
          </cell>
          <cell r="X109">
            <v>-12.4267</v>
          </cell>
          <cell r="Y109">
            <v>-7.9534999999999982</v>
          </cell>
          <cell r="Z109">
            <v>-7.7999999999999972</v>
          </cell>
          <cell r="AA109">
            <v>-20.020000000000003</v>
          </cell>
        </row>
        <row r="110">
          <cell r="A110" t="str">
            <v>Current Tax</v>
          </cell>
          <cell r="V110">
            <v>-4690.7601517531157</v>
          </cell>
          <cell r="W110">
            <v>-1805.3967210265364</v>
          </cell>
          <cell r="X110">
            <v>-1646.7086220452748</v>
          </cell>
          <cell r="Y110">
            <v>-1405.3944410427512</v>
          </cell>
          <cell r="Z110">
            <v>-190.54658213668154</v>
          </cell>
          <cell r="AA110">
            <v>-1967.0085903139952</v>
          </cell>
        </row>
        <row r="111">
          <cell r="V111">
            <v>13343.773447297328</v>
          </cell>
          <cell r="W111">
            <v>5137.8067213832182</v>
          </cell>
          <cell r="X111">
            <v>4674.3593781288582</v>
          </cell>
          <cell r="Y111">
            <v>3992.015293737064</v>
          </cell>
          <cell r="Z111">
            <v>534.52488761978407</v>
          </cell>
          <cell r="AA111">
            <v>6047.2400647398326</v>
          </cell>
        </row>
        <row r="112"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</row>
        <row r="113">
          <cell r="V113">
            <v>13343.773447297328</v>
          </cell>
          <cell r="W113">
            <v>5137.8067213832182</v>
          </cell>
          <cell r="X113">
            <v>4674.3593781288582</v>
          </cell>
          <cell r="Y113">
            <v>3992.015293737064</v>
          </cell>
          <cell r="Z113">
            <v>534.52488761978407</v>
          </cell>
          <cell r="AA113">
            <v>6047.2400647398326</v>
          </cell>
        </row>
        <row r="120">
          <cell r="V120">
            <v>1</v>
          </cell>
          <cell r="W120">
            <v>2</v>
          </cell>
          <cell r="X120">
            <v>3</v>
          </cell>
          <cell r="Y120">
            <v>4</v>
          </cell>
          <cell r="Z120">
            <v>5</v>
          </cell>
          <cell r="AA120">
            <v>6</v>
          </cell>
        </row>
        <row r="121">
          <cell r="V121">
            <v>45658</v>
          </cell>
          <cell r="W121">
            <v>45689</v>
          </cell>
          <cell r="X121">
            <v>45717</v>
          </cell>
          <cell r="Y121">
            <v>45748</v>
          </cell>
          <cell r="Z121">
            <v>45778</v>
          </cell>
          <cell r="AA121">
            <v>45809</v>
          </cell>
        </row>
        <row r="122">
          <cell r="V122" t="str">
            <v>Ist</v>
          </cell>
          <cell r="W122" t="str">
            <v>Ist</v>
          </cell>
          <cell r="X122" t="str">
            <v>Ist</v>
          </cell>
          <cell r="Y122" t="str">
            <v>Ist</v>
          </cell>
          <cell r="Z122" t="str">
            <v>Ist</v>
          </cell>
          <cell r="AA122" t="str">
            <v>Ist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C6F69-A8A7-4105-B914-9E6A2B77886B}">
  <dimension ref="A1:P18"/>
  <sheetViews>
    <sheetView tabSelected="1" workbookViewId="0">
      <selection activeCell="B4" sqref="B4"/>
    </sheetView>
  </sheetViews>
  <sheetFormatPr defaultRowHeight="14.5" x14ac:dyDescent="0.35"/>
  <cols>
    <col min="1" max="1" width="52.08984375" style="34" bestFit="1" customWidth="1"/>
    <col min="2" max="2" width="8.7265625" style="34"/>
    <col min="3" max="8" width="11.1796875" style="34" bestFit="1" customWidth="1"/>
    <col min="9" max="10" width="1.1796875" style="34" customWidth="1"/>
    <col min="11" max="11" width="12.7265625" style="34" customWidth="1"/>
    <col min="12" max="13" width="10" style="34" bestFit="1" customWidth="1"/>
    <col min="14" max="14" width="12.26953125" style="34" customWidth="1"/>
    <col min="15" max="15" width="10.26953125" style="34" bestFit="1" customWidth="1"/>
    <col min="16" max="16" width="12.1796875" style="34" customWidth="1"/>
    <col min="17" max="16384" width="8.7265625" style="34"/>
  </cols>
  <sheetData>
    <row r="1" spans="1:16" x14ac:dyDescent="0.35">
      <c r="A1" s="41" t="s">
        <v>124</v>
      </c>
      <c r="B1" s="42"/>
      <c r="C1" s="42"/>
      <c r="D1" s="42"/>
      <c r="E1" s="42"/>
      <c r="F1" s="42"/>
      <c r="G1" s="42"/>
      <c r="H1" s="42"/>
      <c r="K1" s="44" t="s">
        <v>125</v>
      </c>
      <c r="L1" s="45"/>
      <c r="M1" s="45"/>
      <c r="N1" s="45"/>
      <c r="O1" s="45"/>
      <c r="P1" s="45"/>
    </row>
    <row r="2" spans="1:16" x14ac:dyDescent="0.35">
      <c r="A2" s="11" t="s">
        <v>51</v>
      </c>
      <c r="B2" s="11" t="s">
        <v>101</v>
      </c>
      <c r="C2" s="11" t="s">
        <v>111</v>
      </c>
      <c r="D2" s="11" t="s">
        <v>113</v>
      </c>
      <c r="E2" s="11" t="s">
        <v>114</v>
      </c>
      <c r="F2" s="11" t="s">
        <v>115</v>
      </c>
      <c r="G2" s="11" t="s">
        <v>116</v>
      </c>
      <c r="H2" s="11" t="s">
        <v>117</v>
      </c>
      <c r="K2" s="11" t="s">
        <v>118</v>
      </c>
      <c r="L2" s="11" t="s">
        <v>119</v>
      </c>
      <c r="M2" s="11" t="s">
        <v>120</v>
      </c>
      <c r="N2" s="11" t="s">
        <v>121</v>
      </c>
      <c r="O2" s="11" t="s">
        <v>122</v>
      </c>
      <c r="P2" s="11" t="s">
        <v>123</v>
      </c>
    </row>
    <row r="3" spans="1:16" x14ac:dyDescent="0.35">
      <c r="A3" s="10" t="s">
        <v>45</v>
      </c>
      <c r="B3" s="4"/>
      <c r="C3" s="4"/>
      <c r="D3" s="4"/>
      <c r="E3" s="4"/>
      <c r="F3" s="4"/>
      <c r="G3" s="4"/>
      <c r="H3" s="4"/>
      <c r="K3" s="4"/>
      <c r="L3" s="4"/>
      <c r="M3" s="4"/>
      <c r="N3" s="4"/>
      <c r="O3" s="4"/>
      <c r="P3" s="4"/>
    </row>
    <row r="4" spans="1:16" x14ac:dyDescent="0.35">
      <c r="A4" s="13" t="s">
        <v>50</v>
      </c>
      <c r="B4" s="39">
        <v>1</v>
      </c>
      <c r="C4" s="15">
        <f>'Notes to P&amp;L'!$B$13</f>
        <v>110109.39745</v>
      </c>
      <c r="D4" s="15">
        <f>'Notes to P&amp;L'!C13</f>
        <v>109935.00236</v>
      </c>
      <c r="E4" s="15">
        <f>'Notes to P&amp;L'!D13</f>
        <v>116566.58245999998</v>
      </c>
      <c r="F4" s="15">
        <f>'Notes to P&amp;L'!E13</f>
        <v>110770.68526</v>
      </c>
      <c r="G4" s="15">
        <f>'Notes to P&amp;L'!F13</f>
        <v>118799.90049000003</v>
      </c>
      <c r="H4" s="15">
        <f>'Notes to P&amp;L'!G13</f>
        <v>109395.30581000005</v>
      </c>
      <c r="K4" s="15">
        <f>'Notes to P&amp;L'!$B$13</f>
        <v>110109.39745</v>
      </c>
      <c r="L4" s="15">
        <f>K4+D4</f>
        <v>220044.39981</v>
      </c>
      <c r="M4" s="15">
        <f>L4+E4</f>
        <v>336610.98226999998</v>
      </c>
      <c r="N4" s="15">
        <f>M4+F4</f>
        <v>447381.66752999998</v>
      </c>
      <c r="O4" s="15">
        <f>N4+G4</f>
        <v>566181.56802000001</v>
      </c>
      <c r="P4" s="15">
        <f>O4+H4</f>
        <v>675576.87383000006</v>
      </c>
    </row>
    <row r="5" spans="1:16" x14ac:dyDescent="0.35">
      <c r="A5" s="13" t="s">
        <v>5</v>
      </c>
      <c r="B5" s="39">
        <v>2</v>
      </c>
      <c r="C5" s="15">
        <f>'Notes to P&amp;L'!$B$20</f>
        <v>255</v>
      </c>
      <c r="D5" s="15">
        <f>'Notes to P&amp;L'!C20</f>
        <v>168.73499999999999</v>
      </c>
      <c r="E5" s="15">
        <f>'Notes to P&amp;L'!D20</f>
        <v>296.04700000000003</v>
      </c>
      <c r="F5" s="15">
        <f>'Notes to P&amp;L'!E20</f>
        <v>2703.018</v>
      </c>
      <c r="G5" s="15">
        <f>'Notes to P&amp;L'!F20</f>
        <v>0</v>
      </c>
      <c r="H5" s="15">
        <f>'Notes to P&amp;L'!G20</f>
        <v>0</v>
      </c>
      <c r="K5" s="15">
        <f>'Notes to P&amp;L'!$B$20</f>
        <v>255</v>
      </c>
      <c r="L5" s="15">
        <f>K5+D5</f>
        <v>423.73500000000001</v>
      </c>
      <c r="M5" s="15">
        <f>L5+E5</f>
        <v>719.78200000000004</v>
      </c>
      <c r="N5" s="15">
        <f>M5+F5</f>
        <v>3422.8</v>
      </c>
      <c r="O5" s="15">
        <f>N5+G5</f>
        <v>3422.8</v>
      </c>
      <c r="P5" s="15">
        <f>O5+H5</f>
        <v>3422.8</v>
      </c>
    </row>
    <row r="6" spans="1:16" x14ac:dyDescent="0.35">
      <c r="A6" s="11" t="s">
        <v>39</v>
      </c>
      <c r="B6" s="20"/>
      <c r="C6" s="17">
        <f>C4+C5</f>
        <v>110364.39745</v>
      </c>
      <c r="D6" s="17">
        <f t="shared" ref="D6:H6" si="0">D4+D5</f>
        <v>110103.73736</v>
      </c>
      <c r="E6" s="17">
        <f t="shared" si="0"/>
        <v>116862.62945999998</v>
      </c>
      <c r="F6" s="17">
        <f t="shared" si="0"/>
        <v>113473.70325999999</v>
      </c>
      <c r="G6" s="17">
        <f t="shared" si="0"/>
        <v>118799.90049000003</v>
      </c>
      <c r="H6" s="17">
        <f t="shared" si="0"/>
        <v>109395.30581000005</v>
      </c>
      <c r="K6" s="17">
        <f>K4+K5</f>
        <v>110364.39745</v>
      </c>
      <c r="L6" s="17">
        <f t="shared" ref="L6:P6" si="1">L4+L5</f>
        <v>220468.13480999999</v>
      </c>
      <c r="M6" s="17">
        <f t="shared" si="1"/>
        <v>337330.76426999999</v>
      </c>
      <c r="N6" s="17">
        <f t="shared" si="1"/>
        <v>450804.46752999997</v>
      </c>
      <c r="O6" s="17">
        <f t="shared" si="1"/>
        <v>569604.36802000005</v>
      </c>
      <c r="P6" s="17">
        <f t="shared" si="1"/>
        <v>678999.6738300001</v>
      </c>
    </row>
    <row r="7" spans="1:16" x14ac:dyDescent="0.35">
      <c r="A7" s="10" t="s">
        <v>46</v>
      </c>
      <c r="B7" s="14"/>
      <c r="C7" s="15"/>
      <c r="D7" s="15"/>
      <c r="E7" s="15"/>
      <c r="F7" s="15"/>
      <c r="G7" s="15"/>
      <c r="H7" s="15"/>
      <c r="K7" s="15"/>
      <c r="L7" s="15"/>
      <c r="M7" s="15"/>
      <c r="N7" s="15"/>
      <c r="O7" s="15"/>
      <c r="P7" s="15"/>
    </row>
    <row r="8" spans="1:16" x14ac:dyDescent="0.35">
      <c r="A8" s="13" t="s">
        <v>64</v>
      </c>
      <c r="B8" s="39">
        <v>3</v>
      </c>
      <c r="C8" s="15">
        <f>'Notes to P&amp;L'!$B$25</f>
        <v>-60541.050830000022</v>
      </c>
      <c r="D8" s="15">
        <f>'Notes to P&amp;L'!C25</f>
        <v>-73160.038230000006</v>
      </c>
      <c r="E8" s="15">
        <f>'Notes to P&amp;L'!D25</f>
        <v>-83364.498329999944</v>
      </c>
      <c r="F8" s="15">
        <f>'Notes to P&amp;L'!E25</f>
        <v>-70012.58514000001</v>
      </c>
      <c r="G8" s="15">
        <f>'Notes to P&amp;L'!F25</f>
        <v>-56738.183719999972</v>
      </c>
      <c r="H8" s="15">
        <f>'Notes to P&amp;L'!G25</f>
        <v>-65272.653099999996</v>
      </c>
      <c r="K8" s="15">
        <f>'Notes to P&amp;L'!$B$25</f>
        <v>-60541.050830000022</v>
      </c>
      <c r="L8" s="15">
        <f>K8+D8</f>
        <v>-133701.08906000003</v>
      </c>
      <c r="M8" s="15">
        <f>L8+E8</f>
        <v>-217065.58738999997</v>
      </c>
      <c r="N8" s="15">
        <f>M8+F8</f>
        <v>-287078.17252999998</v>
      </c>
      <c r="O8" s="15">
        <f>N8+G8</f>
        <v>-343816.35624999995</v>
      </c>
      <c r="P8" s="15">
        <f>O8+H8</f>
        <v>-409089.00934999995</v>
      </c>
    </row>
    <row r="9" spans="1:16" x14ac:dyDescent="0.35">
      <c r="A9" s="13" t="s">
        <v>40</v>
      </c>
      <c r="B9" s="39">
        <v>4</v>
      </c>
      <c r="C9" s="15">
        <f>'Notes to P&amp;L'!$B$29</f>
        <v>1596.3599199999996</v>
      </c>
      <c r="D9" s="15">
        <f>'Notes to P&amp;L'!C29</f>
        <v>428.39589000000012</v>
      </c>
      <c r="E9" s="15">
        <f>'Notes to P&amp;L'!D29</f>
        <v>13096.191569999997</v>
      </c>
      <c r="F9" s="15">
        <f>'Notes to P&amp;L'!E29</f>
        <v>5134.8278500000024</v>
      </c>
      <c r="G9" s="15">
        <f>'Notes to P&amp;L'!F29</f>
        <v>-24324.98315</v>
      </c>
      <c r="H9" s="15">
        <f>'Notes to P&amp;L'!G29</f>
        <v>1493.1106199999992</v>
      </c>
      <c r="K9" s="15">
        <f>'Notes to P&amp;L'!$B$29</f>
        <v>1596.3599199999996</v>
      </c>
      <c r="L9" s="15">
        <f>K9+D9</f>
        <v>2024.7558099999997</v>
      </c>
      <c r="M9" s="15">
        <f>L9+E9</f>
        <v>15120.947379999998</v>
      </c>
      <c r="N9" s="15">
        <f>M9+F9</f>
        <v>20255.775229999999</v>
      </c>
      <c r="O9" s="15">
        <f>N9+G9</f>
        <v>-4069.2079200000007</v>
      </c>
      <c r="P9" s="15">
        <f>O9+H9</f>
        <v>-2576.0973000000013</v>
      </c>
    </row>
    <row r="10" spans="1:16" x14ac:dyDescent="0.35">
      <c r="A10" s="13" t="s">
        <v>41</v>
      </c>
      <c r="B10" s="39">
        <v>5</v>
      </c>
      <c r="C10" s="15">
        <f>'Notes to P&amp;L'!$B$36</f>
        <v>-19017.89329479781</v>
      </c>
      <c r="D10" s="15">
        <f>'Notes to P&amp;L'!C36</f>
        <v>-17609.284234797811</v>
      </c>
      <c r="E10" s="15">
        <f>'Notes to P&amp;L'!D36</f>
        <v>-26571.80615479781</v>
      </c>
      <c r="F10" s="15">
        <f>'Notes to P&amp;L'!E36</f>
        <v>-25293.840831612906</v>
      </c>
      <c r="G10" s="15">
        <f>'Notes to P&amp;L'!F36</f>
        <v>-21898.684351612901</v>
      </c>
      <c r="H10" s="15">
        <f>'Notes to P&amp;L'!G36</f>
        <v>-19233.911431612898</v>
      </c>
      <c r="K10" s="15">
        <f>'Notes to P&amp;L'!$B$36</f>
        <v>-19017.89329479781</v>
      </c>
      <c r="L10" s="15">
        <f>K10+D10</f>
        <v>-36627.177529595618</v>
      </c>
      <c r="M10" s="15">
        <f>L10+E10</f>
        <v>-63198.983684393432</v>
      </c>
      <c r="N10" s="15">
        <f>M10+F10</f>
        <v>-88492.824516006338</v>
      </c>
      <c r="O10" s="15">
        <f>N10+G10</f>
        <v>-110391.50886761924</v>
      </c>
      <c r="P10" s="15">
        <f>O10+H10</f>
        <v>-129625.42029923214</v>
      </c>
    </row>
    <row r="11" spans="1:16" x14ac:dyDescent="0.35">
      <c r="A11" s="13" t="s">
        <v>42</v>
      </c>
      <c r="B11" s="39">
        <v>6</v>
      </c>
      <c r="C11" s="15">
        <f>'Notes to P&amp;L'!$B$44</f>
        <v>0</v>
      </c>
      <c r="D11" s="15">
        <f>'Notes to P&amp;L'!$B$44</f>
        <v>0</v>
      </c>
      <c r="E11" s="15">
        <f>'Notes to P&amp;L'!$B$44</f>
        <v>0</v>
      </c>
      <c r="F11" s="15">
        <f>'Notes to P&amp;L'!$B$44</f>
        <v>0</v>
      </c>
      <c r="G11" s="15">
        <f>'Notes to P&amp;L'!$B$44</f>
        <v>0</v>
      </c>
      <c r="H11" s="15">
        <f>'Notes to P&amp;L'!$B$44</f>
        <v>0</v>
      </c>
      <c r="K11" s="15">
        <f>'Notes to P&amp;L'!$B$44</f>
        <v>0</v>
      </c>
      <c r="L11" s="15">
        <f>K11+D11</f>
        <v>0</v>
      </c>
      <c r="M11" s="15">
        <f>L11+E11</f>
        <v>0</v>
      </c>
      <c r="N11" s="15">
        <f>M11+F11</f>
        <v>0</v>
      </c>
      <c r="O11" s="15">
        <f>N11+G11</f>
        <v>0</v>
      </c>
      <c r="P11" s="15">
        <f>O11+H11</f>
        <v>0</v>
      </c>
    </row>
    <row r="12" spans="1:16" x14ac:dyDescent="0.35">
      <c r="A12" s="13" t="s">
        <v>43</v>
      </c>
      <c r="B12" s="39">
        <v>7</v>
      </c>
      <c r="C12" s="15">
        <f>'Notes to P&amp;L'!$B$50</f>
        <v>-2977.552826151732</v>
      </c>
      <c r="D12" s="15">
        <f>'Notes to P&amp;L'!C50</f>
        <v>-2736.5834227924261</v>
      </c>
      <c r="E12" s="15">
        <f>'Notes to P&amp;L'!D50</f>
        <v>457.03944497191151</v>
      </c>
      <c r="F12" s="15">
        <f>'Notes to P&amp;L'!E50</f>
        <v>-6048.9160036072717</v>
      </c>
      <c r="G12" s="15">
        <f>'Notes to P&amp;L'!F50</f>
        <v>-3057.3773986306915</v>
      </c>
      <c r="H12" s="15">
        <f>'Notes to P&amp;L'!G50</f>
        <v>-5915.0699999999961</v>
      </c>
      <c r="K12" s="15">
        <f>'Notes to P&amp;L'!$B$50</f>
        <v>-2977.552826151732</v>
      </c>
      <c r="L12" s="15">
        <f>K12+D12</f>
        <v>-5714.1362489441581</v>
      </c>
      <c r="M12" s="15">
        <f>L12+E12</f>
        <v>-5257.0968039722466</v>
      </c>
      <c r="N12" s="15">
        <f>M12+F12</f>
        <v>-11306.012807579518</v>
      </c>
      <c r="O12" s="15">
        <f>N12+G12</f>
        <v>-14363.39020621021</v>
      </c>
      <c r="P12" s="15">
        <f>O12+H12</f>
        <v>-20278.460206210206</v>
      </c>
    </row>
    <row r="13" spans="1:16" x14ac:dyDescent="0.35">
      <c r="A13" s="13" t="s">
        <v>44</v>
      </c>
      <c r="B13" s="39">
        <v>8</v>
      </c>
      <c r="C13" s="15">
        <f>'Notes to P&amp;L'!$B$79</f>
        <v>-11389.641819999999</v>
      </c>
      <c r="D13" s="15">
        <f>'Notes to P&amp;L'!C79</f>
        <v>-10083.02392</v>
      </c>
      <c r="E13" s="15">
        <f>'Notes to P&amp;L'!D79</f>
        <v>-14158.48799</v>
      </c>
      <c r="F13" s="15">
        <f>'Notes to P&amp;L'!E79</f>
        <v>-11855.779399999998</v>
      </c>
      <c r="G13" s="15">
        <f>'Notes to P&amp;L'!F79</f>
        <v>-12055.600399999999</v>
      </c>
      <c r="H13" s="15">
        <f>'Notes to P&amp;L'!G79</f>
        <v>-12265.81804</v>
      </c>
      <c r="K13" s="15">
        <f>'Notes to P&amp;L'!$B$79</f>
        <v>-11389.641819999999</v>
      </c>
      <c r="L13" s="15">
        <f>K13+D13</f>
        <v>-21472.665739999997</v>
      </c>
      <c r="M13" s="15">
        <f>L13+E13</f>
        <v>-35631.153729999998</v>
      </c>
      <c r="N13" s="15">
        <f>M13+F13</f>
        <v>-47486.933129999998</v>
      </c>
      <c r="O13" s="15">
        <f>N13+G13</f>
        <v>-59542.533530000001</v>
      </c>
      <c r="P13" s="15">
        <f>O13+H13</f>
        <v>-71808.351569999999</v>
      </c>
    </row>
    <row r="14" spans="1:16" x14ac:dyDescent="0.35">
      <c r="A14" s="11" t="s">
        <v>47</v>
      </c>
      <c r="B14" s="12"/>
      <c r="C14" s="17">
        <f>SUM(C8:C13)</f>
        <v>-92329.778850949573</v>
      </c>
      <c r="D14" s="17">
        <f t="shared" ref="D14:H14" si="2">SUM(D8:D13)</f>
        <v>-103160.53391759025</v>
      </c>
      <c r="E14" s="17">
        <f t="shared" si="2"/>
        <v>-110541.56145982584</v>
      </c>
      <c r="F14" s="17">
        <f t="shared" si="2"/>
        <v>-108076.29352522019</v>
      </c>
      <c r="G14" s="17">
        <f t="shared" si="2"/>
        <v>-118074.82902024356</v>
      </c>
      <c r="H14" s="17">
        <f t="shared" si="2"/>
        <v>-101194.34195161288</v>
      </c>
      <c r="K14" s="17">
        <f>SUM(K8:K13)</f>
        <v>-92329.778850949573</v>
      </c>
      <c r="L14" s="17">
        <f t="shared" ref="L14:P14" si="3">SUM(L8:L13)</f>
        <v>-195490.31276853979</v>
      </c>
      <c r="M14" s="17">
        <f t="shared" si="3"/>
        <v>-306031.87422836572</v>
      </c>
      <c r="N14" s="17">
        <f t="shared" si="3"/>
        <v>-414108.16775358585</v>
      </c>
      <c r="O14" s="17">
        <f t="shared" si="3"/>
        <v>-532182.99677382945</v>
      </c>
      <c r="P14" s="17">
        <f t="shared" si="3"/>
        <v>-633377.3387254423</v>
      </c>
    </row>
    <row r="15" spans="1:16" x14ac:dyDescent="0.35">
      <c r="A15" s="11" t="s">
        <v>103</v>
      </c>
      <c r="B15" s="12"/>
      <c r="C15" s="21">
        <f>C6+C14</f>
        <v>18034.618599050431</v>
      </c>
      <c r="D15" s="21">
        <f t="shared" ref="D15:H15" si="4">D6+D14</f>
        <v>6943.203442409751</v>
      </c>
      <c r="E15" s="21">
        <f t="shared" si="4"/>
        <v>6321.0680001741421</v>
      </c>
      <c r="F15" s="21">
        <f t="shared" si="4"/>
        <v>5397.4097347798088</v>
      </c>
      <c r="G15" s="21">
        <f t="shared" si="4"/>
        <v>725.07146975646901</v>
      </c>
      <c r="H15" s="21">
        <f t="shared" si="4"/>
        <v>8200.9638583871711</v>
      </c>
      <c r="K15" s="21">
        <f>K6+K14</f>
        <v>18034.618599050431</v>
      </c>
      <c r="L15" s="21">
        <f t="shared" ref="L15:P15" si="5">L6+L14</f>
        <v>24977.822041460196</v>
      </c>
      <c r="M15" s="21">
        <f t="shared" si="5"/>
        <v>31298.890041634266</v>
      </c>
      <c r="N15" s="21">
        <f t="shared" si="5"/>
        <v>36696.299776414118</v>
      </c>
      <c r="O15" s="21">
        <f t="shared" si="5"/>
        <v>37421.371246170602</v>
      </c>
      <c r="P15" s="21">
        <f t="shared" si="5"/>
        <v>45622.335104557802</v>
      </c>
    </row>
    <row r="16" spans="1:16" x14ac:dyDescent="0.35">
      <c r="A16" s="13" t="s">
        <v>48</v>
      </c>
      <c r="B16" s="4"/>
      <c r="C16" s="15">
        <f>'Notes to P&amp;L'!$B$83</f>
        <v>-4690.7601517531157</v>
      </c>
      <c r="D16" s="15">
        <f>'Notes to P&amp;L'!C83</f>
        <v>-1805.3967210265364</v>
      </c>
      <c r="E16" s="15">
        <f>'Notes to P&amp;L'!D83</f>
        <v>-1646.7086220452748</v>
      </c>
      <c r="F16" s="15">
        <f>'Notes to P&amp;L'!E83</f>
        <v>-1405.3944410427512</v>
      </c>
      <c r="G16" s="15">
        <f>'Notes to P&amp;L'!F83</f>
        <v>-190.54658213668154</v>
      </c>
      <c r="H16" s="15">
        <f>'Notes to P&amp;L'!G83</f>
        <v>-1967.0085903139952</v>
      </c>
      <c r="K16" s="15">
        <f>'Notes to P&amp;L'!$B$83</f>
        <v>-4690.7601517531157</v>
      </c>
      <c r="L16" s="15">
        <f>K16+D16</f>
        <v>-6496.1568727796521</v>
      </c>
      <c r="M16" s="15">
        <f>L16+E16</f>
        <v>-8142.8654948249268</v>
      </c>
      <c r="N16" s="15">
        <f>M16+F16</f>
        <v>-9548.259935867678</v>
      </c>
      <c r="O16" s="15">
        <f>N16+G16</f>
        <v>-9738.8065180043595</v>
      </c>
      <c r="P16" s="15">
        <f>O16+H16</f>
        <v>-11705.815108318355</v>
      </c>
    </row>
    <row r="17" spans="1:16" x14ac:dyDescent="0.35">
      <c r="A17" s="13" t="s">
        <v>49</v>
      </c>
      <c r="B17" s="4"/>
      <c r="C17" s="19">
        <v>0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K17" s="19">
        <v>0</v>
      </c>
      <c r="L17" s="15">
        <f>K17+D17</f>
        <v>0</v>
      </c>
      <c r="M17" s="15">
        <f>L17+E17</f>
        <v>0</v>
      </c>
      <c r="N17" s="15">
        <f>M17+F17</f>
        <v>0</v>
      </c>
      <c r="O17" s="15">
        <f>N17+G17</f>
        <v>0</v>
      </c>
      <c r="P17" s="15">
        <f>O17+H17</f>
        <v>0</v>
      </c>
    </row>
    <row r="18" spans="1:16" x14ac:dyDescent="0.35">
      <c r="A18" s="11" t="s">
        <v>104</v>
      </c>
      <c r="B18" s="12"/>
      <c r="C18" s="17">
        <f>C15+C16</f>
        <v>13343.858447297316</v>
      </c>
      <c r="D18" s="17">
        <f t="shared" ref="D18:H18" si="6">D15+D16</f>
        <v>5137.8067213832146</v>
      </c>
      <c r="E18" s="17">
        <f t="shared" si="6"/>
        <v>4674.3593781288673</v>
      </c>
      <c r="F18" s="17">
        <f t="shared" si="6"/>
        <v>3992.0152937370576</v>
      </c>
      <c r="G18" s="17">
        <f t="shared" si="6"/>
        <v>534.52488761978748</v>
      </c>
      <c r="H18" s="17">
        <f t="shared" si="6"/>
        <v>6233.9552680731758</v>
      </c>
      <c r="K18" s="17">
        <f>K15+K16</f>
        <v>13343.858447297316</v>
      </c>
      <c r="L18" s="17">
        <f t="shared" ref="L18:P18" si="7">L15+L16</f>
        <v>18481.665168680545</v>
      </c>
      <c r="M18" s="17">
        <f t="shared" si="7"/>
        <v>23156.024546809338</v>
      </c>
      <c r="N18" s="17">
        <f t="shared" si="7"/>
        <v>27148.03984054644</v>
      </c>
      <c r="O18" s="17">
        <f t="shared" si="7"/>
        <v>27682.564728166242</v>
      </c>
      <c r="P18" s="17">
        <f t="shared" si="7"/>
        <v>33916.519996239447</v>
      </c>
    </row>
  </sheetData>
  <mergeCells count="2">
    <mergeCell ref="A1:H1"/>
    <mergeCell ref="K1:P1"/>
  </mergeCells>
  <hyperlinks>
    <hyperlink ref="B4" location="'Notes to P&amp;L'!A1" display="'Notes to P&amp;L'!A1" xr:uid="{FFC8D965-5F3C-46B1-9D19-1D5B9FCDA81C}"/>
    <hyperlink ref="B5" location="'Notes to P&amp;L'!A1" display="'Notes to P&amp;L'!A1" xr:uid="{8A00D60E-AC0B-469E-B39F-5B817C4ED9BF}"/>
    <hyperlink ref="B8" location="'Notes to P&amp;L'!A21" display="'Notes to P&amp;L'!A21" xr:uid="{EF06F3E9-053D-439A-A200-73081845E0D0}"/>
    <hyperlink ref="B9" location="'Notes to P&amp;L'!A27" display="'Notes to P&amp;L'!A27" xr:uid="{976E3E0B-095A-4171-88C7-11EC18953C61}"/>
    <hyperlink ref="B10" location="'Notes to P&amp;L'!A39" display="'Notes to P&amp;L'!A39" xr:uid="{40B5636C-93E9-40E0-8D18-51DA91EB1213}"/>
    <hyperlink ref="B11" location="'Notes to P&amp;L'!A46" display="'Notes to P&amp;L'!A46" xr:uid="{EA8A904D-123F-48D4-8816-D2D276DCB1D5}"/>
    <hyperlink ref="B12" location="'Notes to P&amp;L'!A54" display="'Notes to P&amp;L'!A54" xr:uid="{47E779DF-1520-44C3-A75F-FB1FB046B87C}"/>
    <hyperlink ref="B13" location="'Notes to P&amp;L'!A60" display="'Notes to P&amp;L'!A60" xr:uid="{EC6E3C09-D445-4514-8BCD-F7C56A95035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3058E-AF49-43D1-A21A-D8322EFBDBD4}">
  <dimension ref="A2:N83"/>
  <sheetViews>
    <sheetView zoomScaleNormal="100" workbookViewId="0">
      <selection activeCell="A12" sqref="A12"/>
    </sheetView>
  </sheetViews>
  <sheetFormatPr defaultRowHeight="14.5" x14ac:dyDescent="0.35"/>
  <cols>
    <col min="1" max="1" width="54.81640625" style="34" bestFit="1" customWidth="1"/>
    <col min="2" max="7" width="12.36328125" style="34" bestFit="1" customWidth="1"/>
    <col min="8" max="8" width="8.7265625" style="34"/>
    <col min="9" max="14" width="12.36328125" style="34" bestFit="1" customWidth="1"/>
    <col min="15" max="16384" width="8.7265625" style="34"/>
  </cols>
  <sheetData>
    <row r="2" spans="1:14" x14ac:dyDescent="0.35">
      <c r="A2" s="40" t="s">
        <v>52</v>
      </c>
      <c r="B2" s="40" t="s">
        <v>111</v>
      </c>
      <c r="C2" s="40" t="s">
        <v>113</v>
      </c>
      <c r="D2" s="40" t="s">
        <v>114</v>
      </c>
      <c r="E2" s="40" t="s">
        <v>115</v>
      </c>
      <c r="F2" s="40" t="s">
        <v>116</v>
      </c>
      <c r="G2" s="40" t="s">
        <v>117</v>
      </c>
      <c r="I2" s="40" t="s">
        <v>111</v>
      </c>
      <c r="J2" s="40" t="s">
        <v>119</v>
      </c>
      <c r="K2" s="40" t="s">
        <v>120</v>
      </c>
      <c r="L2" s="40" t="s">
        <v>121</v>
      </c>
      <c r="M2" s="40" t="s">
        <v>122</v>
      </c>
      <c r="N2" s="40" t="s">
        <v>123</v>
      </c>
    </row>
    <row r="3" spans="1:14" x14ac:dyDescent="0.35">
      <c r="A3" s="10" t="s">
        <v>51</v>
      </c>
      <c r="B3" s="10" t="s">
        <v>126</v>
      </c>
      <c r="C3" s="10" t="s">
        <v>126</v>
      </c>
      <c r="D3" s="10" t="s">
        <v>126</v>
      </c>
      <c r="E3" s="10" t="s">
        <v>126</v>
      </c>
      <c r="F3" s="10" t="s">
        <v>126</v>
      </c>
      <c r="G3" s="10" t="s">
        <v>126</v>
      </c>
      <c r="I3" s="10" t="s">
        <v>126</v>
      </c>
      <c r="J3" s="10" t="s">
        <v>126</v>
      </c>
      <c r="K3" s="10" t="s">
        <v>126</v>
      </c>
      <c r="L3" s="10" t="s">
        <v>126</v>
      </c>
      <c r="M3" s="10" t="s">
        <v>126</v>
      </c>
      <c r="N3" s="10" t="s">
        <v>126</v>
      </c>
    </row>
    <row r="4" spans="1:14" x14ac:dyDescent="0.35">
      <c r="A4" s="15" t="s">
        <v>37</v>
      </c>
      <c r="B4" s="15">
        <f>SUMIF('[1]P&amp;L LocCur'!$A:$A,A4,'[1]P&amp;L LocCur'!$V:$V)</f>
        <v>110109.39745</v>
      </c>
      <c r="C4" s="15">
        <f>SUMIF('[1]P&amp;L LocCur'!$A:$A,A4,'[1]P&amp;L LocCur'!$W:$W)</f>
        <v>109935.00236</v>
      </c>
      <c r="D4" s="15">
        <f>SUMIF('[1]P&amp;L LocCur'!$A:$A,A4,'[1]P&amp;L LocCur'!$X:$X)</f>
        <v>116566.58245999998</v>
      </c>
      <c r="E4" s="15">
        <f>SUMIF('[1]P&amp;L LocCur'!$A:$A,A4,'[1]P&amp;L LocCur'!$Y:$Y)</f>
        <v>110770.68526</v>
      </c>
      <c r="F4" s="15">
        <f>SUMIF('[1]P&amp;L LocCur'!$A:$A,A4,'[1]P&amp;L LocCur'!$Z:$Z)</f>
        <v>118799.90049000003</v>
      </c>
      <c r="G4" s="15">
        <f>SUMIF('[1]P&amp;L LocCur'!$A:$A,A4,'[1]P&amp;L LocCur'!$AA:$AA)</f>
        <v>109395.30581000005</v>
      </c>
      <c r="I4" s="15">
        <f>B4</f>
        <v>110109.39745</v>
      </c>
      <c r="J4" s="15">
        <f>I4+C4</f>
        <v>220044.39981</v>
      </c>
      <c r="K4" s="15">
        <f t="shared" ref="K4:N4" si="0">J4+D4</f>
        <v>336610.98226999998</v>
      </c>
      <c r="L4" s="15">
        <f t="shared" si="0"/>
        <v>447381.66752999998</v>
      </c>
      <c r="M4" s="15">
        <f t="shared" si="0"/>
        <v>566181.56802000001</v>
      </c>
      <c r="N4" s="15">
        <f t="shared" si="0"/>
        <v>675576.87383000006</v>
      </c>
    </row>
    <row r="5" spans="1:14" x14ac:dyDescent="0.35">
      <c r="A5" s="15" t="s">
        <v>38</v>
      </c>
      <c r="B5" s="15">
        <f>SUMIF('[1]P&amp;L LocCur'!$A:$A,A5,'[1]P&amp;L LocCur'!$V:$V)</f>
        <v>0</v>
      </c>
      <c r="C5" s="15">
        <f>SUMIF('[1]P&amp;L LocCur'!$A:$A,A5,'[1]P&amp;L LocCur'!$W:$W)</f>
        <v>0</v>
      </c>
      <c r="D5" s="15">
        <f>SUMIF('[1]P&amp;L LocCur'!$A:$A,A5,'[1]P&amp;L LocCur'!$X:$X)</f>
        <v>0</v>
      </c>
      <c r="E5" s="15">
        <f>SUMIF('[1]P&amp;L LocCur'!$A:$A,A5,'[1]P&amp;L LocCur'!$Y:$Y)</f>
        <v>0</v>
      </c>
      <c r="F5" s="15">
        <f>SUMIF('[1]P&amp;L LocCur'!$A:$A,A5,'[1]P&amp;L LocCur'!$Z:$Z)</f>
        <v>0</v>
      </c>
      <c r="G5" s="15">
        <f>SUMIF('[1]P&amp;L LocCur'!$A:$A,A5,'[1]P&amp;L LocCur'!$AA:$AA)</f>
        <v>0</v>
      </c>
      <c r="I5" s="15">
        <f>B5</f>
        <v>0</v>
      </c>
      <c r="J5" s="15">
        <f>I5+C5</f>
        <v>0</v>
      </c>
      <c r="K5" s="15">
        <f t="shared" ref="K5" si="1">J5+D5</f>
        <v>0</v>
      </c>
      <c r="L5" s="15">
        <f t="shared" ref="L5" si="2">K5+E5</f>
        <v>0</v>
      </c>
      <c r="M5" s="15">
        <f t="shared" ref="M5" si="3">L5+F5</f>
        <v>0</v>
      </c>
      <c r="N5" s="15">
        <f t="shared" ref="N5" si="4">M5+G5</f>
        <v>0</v>
      </c>
    </row>
    <row r="6" spans="1:14" x14ac:dyDescent="0.35">
      <c r="A6" s="16" t="s">
        <v>59</v>
      </c>
      <c r="B6" s="16">
        <f>SUM(B4:B5)</f>
        <v>110109.39745</v>
      </c>
      <c r="C6" s="16">
        <f t="shared" ref="C6:G6" si="5">SUM(C4:C5)</f>
        <v>109935.00236</v>
      </c>
      <c r="D6" s="16">
        <f t="shared" si="5"/>
        <v>116566.58245999998</v>
      </c>
      <c r="E6" s="16">
        <f t="shared" si="5"/>
        <v>110770.68526</v>
      </c>
      <c r="F6" s="16">
        <f t="shared" si="5"/>
        <v>118799.90049000003</v>
      </c>
      <c r="G6" s="16">
        <f t="shared" si="5"/>
        <v>109395.30581000005</v>
      </c>
      <c r="I6" s="16">
        <f>SUM(I4:I5)</f>
        <v>110109.39745</v>
      </c>
      <c r="J6" s="16">
        <f t="shared" ref="J6:N6" si="6">SUM(J4:J5)</f>
        <v>220044.39981</v>
      </c>
      <c r="K6" s="16">
        <f t="shared" si="6"/>
        <v>336610.98226999998</v>
      </c>
      <c r="L6" s="16">
        <f t="shared" si="6"/>
        <v>447381.66752999998</v>
      </c>
      <c r="M6" s="16">
        <f t="shared" si="6"/>
        <v>566181.56802000001</v>
      </c>
      <c r="N6" s="16">
        <f t="shared" si="6"/>
        <v>675576.87383000006</v>
      </c>
    </row>
    <row r="7" spans="1:14" x14ac:dyDescent="0.35">
      <c r="A7" s="16" t="s">
        <v>60</v>
      </c>
      <c r="B7" s="15"/>
      <c r="C7" s="15"/>
      <c r="D7" s="15"/>
      <c r="E7" s="15"/>
      <c r="F7" s="15"/>
      <c r="G7" s="15"/>
      <c r="I7" s="15"/>
      <c r="J7" s="15"/>
      <c r="K7" s="15"/>
      <c r="L7" s="15"/>
      <c r="M7" s="15"/>
      <c r="N7" s="15"/>
    </row>
    <row r="8" spans="1:14" x14ac:dyDescent="0.35">
      <c r="A8" s="15" t="s">
        <v>57</v>
      </c>
      <c r="B8" s="15">
        <f>SUMIF('[1]P&amp;L LocCur'!$A:$A,A8,'[1]P&amp;L LocCur'!$V:$V)</f>
        <v>0</v>
      </c>
      <c r="C8" s="15">
        <f>SUMIF('[1]P&amp;L LocCur'!$A:$A,A8,'[1]P&amp;L LocCur'!$W:$W)</f>
        <v>0</v>
      </c>
      <c r="D8" s="15">
        <f>SUMIF('[1]P&amp;L LocCur'!$A:$A,A8,'[1]P&amp;L LocCur'!$X:$X)</f>
        <v>0</v>
      </c>
      <c r="E8" s="15">
        <f>SUMIF('[1]P&amp;L LocCur'!$A:$A,A8,'[1]P&amp;L LocCur'!$Y:$Y)</f>
        <v>0</v>
      </c>
      <c r="F8" s="15">
        <f>SUMIF('[1]P&amp;L LocCur'!$A:$A,A8,'[1]P&amp;L LocCur'!$Z:$Z)</f>
        <v>0</v>
      </c>
      <c r="G8" s="15">
        <f>SUMIF('[1]P&amp;L LocCur'!$A:$A,A8,'[1]P&amp;L LocCur'!$AA:$AA)</f>
        <v>0</v>
      </c>
      <c r="I8" s="15">
        <f t="shared" ref="I8:I12" si="7">B8</f>
        <v>0</v>
      </c>
      <c r="J8" s="15">
        <f t="shared" ref="J8:J12" si="8">I8+C8</f>
        <v>0</v>
      </c>
      <c r="K8" s="15">
        <f t="shared" ref="K8:K12" si="9">J8+D8</f>
        <v>0</v>
      </c>
      <c r="L8" s="15">
        <f t="shared" ref="L8:L12" si="10">K8+E8</f>
        <v>0</v>
      </c>
      <c r="M8" s="15">
        <f t="shared" ref="M8:M12" si="11">L8+F8</f>
        <v>0</v>
      </c>
      <c r="N8" s="15">
        <f t="shared" ref="N8:N12" si="12">M8+G8</f>
        <v>0</v>
      </c>
    </row>
    <row r="9" spans="1:14" x14ac:dyDescent="0.35">
      <c r="A9" s="15" t="s">
        <v>54</v>
      </c>
      <c r="B9" s="15">
        <f>SUMIF('[1]P&amp;L LocCur'!$A:$A,A9,'[1]P&amp;L LocCur'!$V:$V)</f>
        <v>0</v>
      </c>
      <c r="C9" s="15">
        <f>SUMIF('[1]P&amp;L LocCur'!$A:$A,A9,'[1]P&amp;L LocCur'!$W:$W)</f>
        <v>0</v>
      </c>
      <c r="D9" s="15">
        <f>SUMIF('[1]P&amp;L LocCur'!$A:$A,A9,'[1]P&amp;L LocCur'!$X:$X)</f>
        <v>0</v>
      </c>
      <c r="E9" s="15">
        <f>SUMIF('[1]P&amp;L LocCur'!$A:$A,A9,'[1]P&amp;L LocCur'!$Y:$Y)</f>
        <v>0</v>
      </c>
      <c r="F9" s="15">
        <f>SUMIF('[1]P&amp;L LocCur'!$A:$A,A9,'[1]P&amp;L LocCur'!$Z:$Z)</f>
        <v>0</v>
      </c>
      <c r="G9" s="15">
        <f>SUMIF('[1]P&amp;L LocCur'!$A:$A,A9,'[1]P&amp;L LocCur'!$AA:$AA)</f>
        <v>0</v>
      </c>
      <c r="I9" s="15">
        <f t="shared" si="7"/>
        <v>0</v>
      </c>
      <c r="J9" s="15">
        <f t="shared" si="8"/>
        <v>0</v>
      </c>
      <c r="K9" s="15">
        <f t="shared" si="9"/>
        <v>0</v>
      </c>
      <c r="L9" s="15">
        <f t="shared" si="10"/>
        <v>0</v>
      </c>
      <c r="M9" s="15">
        <f t="shared" si="11"/>
        <v>0</v>
      </c>
      <c r="N9" s="15">
        <f t="shared" si="12"/>
        <v>0</v>
      </c>
    </row>
    <row r="10" spans="1:14" x14ac:dyDescent="0.35">
      <c r="A10" s="15" t="s">
        <v>55</v>
      </c>
      <c r="B10" s="15">
        <f>SUMIF('[1]P&amp;L LocCur'!$A:$A,A10,'[1]P&amp;L LocCur'!$V:$V)</f>
        <v>0</v>
      </c>
      <c r="C10" s="15">
        <f>SUMIF('[1]P&amp;L LocCur'!$A:$A,A10,'[1]P&amp;L LocCur'!$W:$W)</f>
        <v>0</v>
      </c>
      <c r="D10" s="15">
        <f>SUMIF('[1]P&amp;L LocCur'!$A:$A,A10,'[1]P&amp;L LocCur'!$X:$X)</f>
        <v>0</v>
      </c>
      <c r="E10" s="15">
        <f>SUMIF('[1]P&amp;L LocCur'!$A:$A,A10,'[1]P&amp;L LocCur'!$Y:$Y)</f>
        <v>0</v>
      </c>
      <c r="F10" s="15">
        <f>SUMIF('[1]P&amp;L LocCur'!$A:$A,A10,'[1]P&amp;L LocCur'!$Z:$Z)</f>
        <v>0</v>
      </c>
      <c r="G10" s="15">
        <f>SUMIF('[1]P&amp;L LocCur'!$A:$A,A10,'[1]P&amp;L LocCur'!$AA:$AA)</f>
        <v>0</v>
      </c>
      <c r="I10" s="15">
        <f t="shared" si="7"/>
        <v>0</v>
      </c>
      <c r="J10" s="15">
        <f t="shared" si="8"/>
        <v>0</v>
      </c>
      <c r="K10" s="15">
        <f t="shared" si="9"/>
        <v>0</v>
      </c>
      <c r="L10" s="15">
        <f t="shared" si="10"/>
        <v>0</v>
      </c>
      <c r="M10" s="15">
        <f t="shared" si="11"/>
        <v>0</v>
      </c>
      <c r="N10" s="15">
        <f t="shared" si="12"/>
        <v>0</v>
      </c>
    </row>
    <row r="11" spans="1:14" x14ac:dyDescent="0.35">
      <c r="A11" s="15" t="s">
        <v>56</v>
      </c>
      <c r="B11" s="15">
        <f>SUMIF('[1]P&amp;L LocCur'!$A:$A,A11,'[1]P&amp;L LocCur'!$V:$V)</f>
        <v>0</v>
      </c>
      <c r="C11" s="15">
        <f>SUMIF('[1]P&amp;L LocCur'!$A:$A,A11,'[1]P&amp;L LocCur'!$W:$W)</f>
        <v>0</v>
      </c>
      <c r="D11" s="15">
        <f>SUMIF('[1]P&amp;L LocCur'!$A:$A,A11,'[1]P&amp;L LocCur'!$X:$X)</f>
        <v>0</v>
      </c>
      <c r="E11" s="15">
        <f>SUMIF('[1]P&amp;L LocCur'!$A:$A,A11,'[1]P&amp;L LocCur'!$Y:$Y)</f>
        <v>0</v>
      </c>
      <c r="F11" s="15">
        <f>SUMIF('[1]P&amp;L LocCur'!$A:$A,A11,'[1]P&amp;L LocCur'!$Z:$Z)</f>
        <v>0</v>
      </c>
      <c r="G11" s="15">
        <f>SUMIF('[1]P&amp;L LocCur'!$A:$A,A11,'[1]P&amp;L LocCur'!$AA:$AA)</f>
        <v>0</v>
      </c>
      <c r="I11" s="15">
        <f t="shared" si="7"/>
        <v>0</v>
      </c>
      <c r="J11" s="15">
        <f t="shared" si="8"/>
        <v>0</v>
      </c>
      <c r="K11" s="15">
        <f t="shared" si="9"/>
        <v>0</v>
      </c>
      <c r="L11" s="15">
        <f t="shared" si="10"/>
        <v>0</v>
      </c>
      <c r="M11" s="15">
        <f t="shared" si="11"/>
        <v>0</v>
      </c>
      <c r="N11" s="15">
        <f t="shared" si="12"/>
        <v>0</v>
      </c>
    </row>
    <row r="12" spans="1:14" x14ac:dyDescent="0.35">
      <c r="A12" s="15" t="s">
        <v>58</v>
      </c>
      <c r="B12" s="15">
        <f>SUMIF('[1]P&amp;L LocCur'!$A:$A,A12,'[1]P&amp;L LocCur'!$V:$V)</f>
        <v>0</v>
      </c>
      <c r="C12" s="15">
        <f>SUMIF('[1]P&amp;L LocCur'!$A:$A,A12,'[1]P&amp;L LocCur'!$W:$W)</f>
        <v>0</v>
      </c>
      <c r="D12" s="15">
        <f>SUMIF('[1]P&amp;L LocCur'!$A:$A,A12,'[1]P&amp;L LocCur'!$X:$X)</f>
        <v>0</v>
      </c>
      <c r="E12" s="15">
        <f>SUMIF('[1]P&amp;L LocCur'!$A:$A,A12,'[1]P&amp;L LocCur'!$Y:$Y)</f>
        <v>0</v>
      </c>
      <c r="F12" s="15">
        <f>SUMIF('[1]P&amp;L LocCur'!$A:$A,A12,'[1]P&amp;L LocCur'!$Z:$Z)</f>
        <v>0</v>
      </c>
      <c r="G12" s="15">
        <f>SUMIF('[1]P&amp;L LocCur'!$A:$A,A12,'[1]P&amp;L LocCur'!$AA:$AA)</f>
        <v>0</v>
      </c>
      <c r="I12" s="15">
        <f t="shared" si="7"/>
        <v>0</v>
      </c>
      <c r="J12" s="15">
        <f t="shared" si="8"/>
        <v>0</v>
      </c>
      <c r="K12" s="15">
        <f t="shared" si="9"/>
        <v>0</v>
      </c>
      <c r="L12" s="15">
        <f t="shared" si="10"/>
        <v>0</v>
      </c>
      <c r="M12" s="15">
        <f t="shared" si="11"/>
        <v>0</v>
      </c>
      <c r="N12" s="15">
        <f t="shared" si="12"/>
        <v>0</v>
      </c>
    </row>
    <row r="13" spans="1:14" x14ac:dyDescent="0.35">
      <c r="A13" s="17" t="s">
        <v>61</v>
      </c>
      <c r="B13" s="17">
        <f>B6+SUM(B8:B12)</f>
        <v>110109.39745</v>
      </c>
      <c r="C13" s="17">
        <f t="shared" ref="C13:G13" si="13">C6+SUM(C8:C12)</f>
        <v>109935.00236</v>
      </c>
      <c r="D13" s="17">
        <f t="shared" si="13"/>
        <v>116566.58245999998</v>
      </c>
      <c r="E13" s="17">
        <f t="shared" si="13"/>
        <v>110770.68526</v>
      </c>
      <c r="F13" s="17">
        <f t="shared" si="13"/>
        <v>118799.90049000003</v>
      </c>
      <c r="G13" s="17">
        <f t="shared" si="13"/>
        <v>109395.30581000005</v>
      </c>
      <c r="I13" s="17">
        <f>I6+SUM(I8:I12)</f>
        <v>110109.39745</v>
      </c>
      <c r="J13" s="17">
        <f t="shared" ref="J13:N13" si="14">J6+SUM(J8:J12)</f>
        <v>220044.39981</v>
      </c>
      <c r="K13" s="17">
        <f t="shared" si="14"/>
        <v>336610.98226999998</v>
      </c>
      <c r="L13" s="17">
        <f t="shared" si="14"/>
        <v>447381.66752999998</v>
      </c>
      <c r="M13" s="17">
        <f t="shared" si="14"/>
        <v>566181.56802000001</v>
      </c>
      <c r="N13" s="17">
        <f t="shared" si="14"/>
        <v>675576.87383000006</v>
      </c>
    </row>
    <row r="14" spans="1:14" x14ac:dyDescent="0.35">
      <c r="A14" s="36"/>
      <c r="B14" s="36"/>
      <c r="C14" s="36"/>
      <c r="D14" s="36"/>
      <c r="E14" s="36"/>
      <c r="F14" s="36"/>
      <c r="G14" s="36"/>
      <c r="I14" s="36"/>
      <c r="J14" s="36"/>
      <c r="K14" s="36"/>
      <c r="L14" s="36"/>
      <c r="M14" s="36"/>
      <c r="N14" s="36"/>
    </row>
    <row r="15" spans="1:14" x14ac:dyDescent="0.35">
      <c r="A15" s="46" t="s">
        <v>62</v>
      </c>
      <c r="B15" s="40"/>
      <c r="C15" s="40"/>
      <c r="D15" s="40"/>
      <c r="E15" s="40"/>
      <c r="F15" s="40"/>
      <c r="G15" s="40"/>
      <c r="I15" s="40"/>
      <c r="J15" s="40"/>
      <c r="K15" s="40"/>
      <c r="L15" s="40"/>
      <c r="M15" s="40"/>
      <c r="N15" s="40"/>
    </row>
    <row r="16" spans="1:14" x14ac:dyDescent="0.35">
      <c r="A16" s="16" t="s">
        <v>51</v>
      </c>
      <c r="B16" s="16"/>
      <c r="C16" s="16"/>
      <c r="D16" s="16"/>
      <c r="E16" s="16"/>
      <c r="F16" s="16"/>
      <c r="G16" s="16"/>
      <c r="I16" s="16"/>
      <c r="J16" s="16"/>
      <c r="K16" s="16"/>
      <c r="L16" s="16"/>
      <c r="M16" s="16"/>
      <c r="N16" s="16"/>
    </row>
    <row r="17" spans="1:14" x14ac:dyDescent="0.35">
      <c r="A17" s="15" t="s">
        <v>63</v>
      </c>
      <c r="B17" s="15">
        <f>SUMIF('[1]P&amp;L LocCur'!$A:$A,A17,'[1]P&amp;L LocCur'!$V:$V)</f>
        <v>0</v>
      </c>
      <c r="C17" s="15">
        <f>SUMIF('[1]P&amp;L LocCur'!$A:$A,A17,'[1]P&amp;L LocCur'!$W:$W)</f>
        <v>0</v>
      </c>
      <c r="D17" s="15">
        <f>SUMIF('[1]P&amp;L LocCur'!$A:$A,A17,'[1]P&amp;L LocCur'!$X:$X)</f>
        <v>0</v>
      </c>
      <c r="E17" s="15">
        <f>SUMIF('[1]P&amp;L LocCur'!$A:$A,A17,'[1]P&amp;L LocCur'!$Y:$Y)</f>
        <v>0</v>
      </c>
      <c r="F17" s="15">
        <f>SUMIF('[1]P&amp;L LocCur'!$A:$A,A17,'[1]P&amp;L LocCur'!$Z:$Z)</f>
        <v>0</v>
      </c>
      <c r="G17" s="15">
        <f>SUMIF('[1]P&amp;L LocCur'!$A:$A,A17,'[1]P&amp;L LocCur'!$AA:$AA)</f>
        <v>0</v>
      </c>
      <c r="I17" s="15">
        <f t="shared" ref="I17:I19" si="15">B17</f>
        <v>0</v>
      </c>
      <c r="J17" s="15">
        <f t="shared" ref="J17:J19" si="16">I17+C17</f>
        <v>0</v>
      </c>
      <c r="K17" s="15">
        <f t="shared" ref="K17:K19" si="17">J17+D17</f>
        <v>0</v>
      </c>
      <c r="L17" s="15">
        <f t="shared" ref="L17:L19" si="18">K17+E17</f>
        <v>0</v>
      </c>
      <c r="M17" s="15">
        <f t="shared" ref="M17:M19" si="19">L17+F17</f>
        <v>0</v>
      </c>
      <c r="N17" s="15">
        <f t="shared" ref="N17:N19" si="20">M17+G17</f>
        <v>0</v>
      </c>
    </row>
    <row r="18" spans="1:14" x14ac:dyDescent="0.35">
      <c r="A18" s="15" t="s">
        <v>102</v>
      </c>
      <c r="B18" s="15">
        <f>SUMIF('[1]P&amp;L LocCur'!$A:$A,A18,'[1]P&amp;L LocCur'!$V:$V)</f>
        <v>0</v>
      </c>
      <c r="C18" s="15">
        <f>SUMIF('[1]P&amp;L LocCur'!$A:$A,A18,'[1]P&amp;L LocCur'!$W:$W)</f>
        <v>0</v>
      </c>
      <c r="D18" s="15">
        <f>SUMIF('[1]P&amp;L LocCur'!$A:$A,A18,'[1]P&amp;L LocCur'!$X:$X)</f>
        <v>0</v>
      </c>
      <c r="E18" s="15">
        <f>SUMIF('[1]P&amp;L LocCur'!$A:$A,A18,'[1]P&amp;L LocCur'!$Y:$Y)</f>
        <v>0</v>
      </c>
      <c r="F18" s="15">
        <f>SUMIF('[1]P&amp;L LocCur'!$A:$A,A18,'[1]P&amp;L LocCur'!$Z:$Z)</f>
        <v>0</v>
      </c>
      <c r="G18" s="15">
        <f>SUMIF('[1]P&amp;L LocCur'!$A:$A,A18,'[1]P&amp;L LocCur'!$AA:$AA)</f>
        <v>0</v>
      </c>
      <c r="I18" s="15">
        <f t="shared" si="15"/>
        <v>0</v>
      </c>
      <c r="J18" s="15">
        <f t="shared" si="16"/>
        <v>0</v>
      </c>
      <c r="K18" s="15">
        <f t="shared" si="17"/>
        <v>0</v>
      </c>
      <c r="L18" s="15">
        <f t="shared" si="18"/>
        <v>0</v>
      </c>
      <c r="M18" s="15">
        <f t="shared" si="19"/>
        <v>0</v>
      </c>
      <c r="N18" s="15">
        <f t="shared" si="20"/>
        <v>0</v>
      </c>
    </row>
    <row r="19" spans="1:14" x14ac:dyDescent="0.35">
      <c r="A19" s="15" t="s">
        <v>109</v>
      </c>
      <c r="B19" s="15">
        <v>255</v>
      </c>
      <c r="C19" s="15">
        <f>SUMIF('[1]P&amp;L LocCur'!$A:$A,A19,'[1]P&amp;L LocCur'!$W:$W)</f>
        <v>168.73499999999999</v>
      </c>
      <c r="D19" s="15">
        <f>SUMIF('[1]P&amp;L LocCur'!$A:$A,A19,'[1]P&amp;L LocCur'!$X:$X)</f>
        <v>296.04700000000003</v>
      </c>
      <c r="E19" s="15">
        <f>SUMIF('[1]P&amp;L LocCur'!$A:$A,A19,'[1]P&amp;L LocCur'!$Y:$Y)</f>
        <v>2703.018</v>
      </c>
      <c r="F19" s="15">
        <f>SUMIF('[1]P&amp;L LocCur'!$A:$A,A19,'[1]P&amp;L LocCur'!$Z:$Z)</f>
        <v>0</v>
      </c>
      <c r="G19" s="15">
        <f>SUMIF('[1]P&amp;L LocCur'!$A:$A,A19,'[1]P&amp;L LocCur'!$AA:$AA)</f>
        <v>0</v>
      </c>
      <c r="I19" s="15">
        <f t="shared" si="15"/>
        <v>255</v>
      </c>
      <c r="J19" s="15">
        <f t="shared" si="16"/>
        <v>423.73500000000001</v>
      </c>
      <c r="K19" s="15">
        <f t="shared" si="17"/>
        <v>719.78200000000004</v>
      </c>
      <c r="L19" s="15">
        <f t="shared" si="18"/>
        <v>3422.8</v>
      </c>
      <c r="M19" s="15">
        <f t="shared" si="19"/>
        <v>3422.8</v>
      </c>
      <c r="N19" s="15">
        <f t="shared" si="20"/>
        <v>3422.8</v>
      </c>
    </row>
    <row r="20" spans="1:14" x14ac:dyDescent="0.35">
      <c r="A20" s="17" t="s">
        <v>61</v>
      </c>
      <c r="B20" s="17">
        <f>SUM(B17:B19)</f>
        <v>255</v>
      </c>
      <c r="C20" s="17">
        <f t="shared" ref="C20:G20" si="21">SUM(C17:C19)</f>
        <v>168.73499999999999</v>
      </c>
      <c r="D20" s="17">
        <f t="shared" si="21"/>
        <v>296.04700000000003</v>
      </c>
      <c r="E20" s="17">
        <f t="shared" si="21"/>
        <v>2703.018</v>
      </c>
      <c r="F20" s="17">
        <f t="shared" si="21"/>
        <v>0</v>
      </c>
      <c r="G20" s="17">
        <f t="shared" si="21"/>
        <v>0</v>
      </c>
      <c r="I20" s="17">
        <f>SUM(I17:I19)</f>
        <v>255</v>
      </c>
      <c r="J20" s="17">
        <f t="shared" ref="J20:N20" si="22">SUM(J17:J19)</f>
        <v>423.73500000000001</v>
      </c>
      <c r="K20" s="17">
        <f t="shared" si="22"/>
        <v>719.78200000000004</v>
      </c>
      <c r="L20" s="17">
        <f t="shared" si="22"/>
        <v>3422.8</v>
      </c>
      <c r="M20" s="17">
        <f t="shared" si="22"/>
        <v>3422.8</v>
      </c>
      <c r="N20" s="17">
        <f t="shared" si="22"/>
        <v>3422.8</v>
      </c>
    </row>
    <row r="21" spans="1:14" x14ac:dyDescent="0.35">
      <c r="A21" s="36"/>
      <c r="B21" s="36"/>
      <c r="C21" s="36"/>
      <c r="D21" s="36"/>
      <c r="E21" s="36"/>
      <c r="F21" s="36"/>
      <c r="G21" s="36"/>
      <c r="I21" s="36"/>
      <c r="J21" s="36"/>
      <c r="K21" s="36"/>
      <c r="L21" s="36"/>
      <c r="M21" s="36"/>
      <c r="N21" s="36"/>
    </row>
    <row r="22" spans="1:14" x14ac:dyDescent="0.35">
      <c r="A22" s="46" t="s">
        <v>65</v>
      </c>
      <c r="B22" s="46"/>
      <c r="C22" s="46"/>
      <c r="D22" s="46"/>
      <c r="E22" s="46"/>
      <c r="F22" s="46"/>
      <c r="G22" s="46"/>
      <c r="I22" s="46"/>
      <c r="J22" s="46"/>
      <c r="K22" s="46"/>
      <c r="L22" s="46"/>
      <c r="M22" s="46"/>
      <c r="N22" s="46"/>
    </row>
    <row r="23" spans="1:14" x14ac:dyDescent="0.35">
      <c r="A23" s="16" t="s">
        <v>51</v>
      </c>
      <c r="B23" s="16"/>
      <c r="C23" s="16"/>
      <c r="D23" s="16"/>
      <c r="E23" s="16"/>
      <c r="F23" s="16"/>
      <c r="G23" s="16"/>
      <c r="I23" s="16"/>
      <c r="J23" s="16"/>
      <c r="K23" s="16"/>
      <c r="L23" s="16"/>
      <c r="M23" s="16"/>
      <c r="N23" s="16"/>
    </row>
    <row r="24" spans="1:14" x14ac:dyDescent="0.35">
      <c r="A24" s="15" t="s">
        <v>107</v>
      </c>
      <c r="B24" s="15">
        <f>SUMIF('[1]P&amp;L LocCur'!$A:$A,A24,'[1]P&amp;L LocCur'!$V:$V)</f>
        <v>-60541.050830000022</v>
      </c>
      <c r="C24" s="15">
        <f>SUMIF('[1]P&amp;L LocCur'!$A:$A,A24,'[1]P&amp;L LocCur'!$W:$W)</f>
        <v>-73160.038230000006</v>
      </c>
      <c r="D24" s="15">
        <f>SUMIF('[1]P&amp;L LocCur'!$A:$A,A24,'[1]P&amp;L LocCur'!$X:$X)</f>
        <v>-83364.498329999944</v>
      </c>
      <c r="E24" s="15">
        <f>SUMIF('[1]P&amp;L LocCur'!$A:$A,A24,'[1]P&amp;L LocCur'!$Y:$Y)</f>
        <v>-70012.58514000001</v>
      </c>
      <c r="F24" s="15">
        <f>SUMIF('[1]P&amp;L LocCur'!$A:$A,A24,'[1]P&amp;L LocCur'!$Z:$Z)</f>
        <v>-56738.183719999972</v>
      </c>
      <c r="G24" s="15">
        <f>SUMIF('[1]P&amp;L LocCur'!$A:$A,A24,'[1]P&amp;L LocCur'!$AA:$AA)</f>
        <v>-65272.653099999996</v>
      </c>
      <c r="I24" s="15">
        <f>B24</f>
        <v>-60541.050830000022</v>
      </c>
      <c r="J24" s="15">
        <f>I24+C24</f>
        <v>-133701.08906000003</v>
      </c>
      <c r="K24" s="15">
        <f t="shared" ref="K24" si="23">J24+D24</f>
        <v>-217065.58738999997</v>
      </c>
      <c r="L24" s="15">
        <f t="shared" ref="L24" si="24">K24+E24</f>
        <v>-287078.17252999998</v>
      </c>
      <c r="M24" s="15">
        <f t="shared" ref="M24" si="25">L24+F24</f>
        <v>-343816.35624999995</v>
      </c>
      <c r="N24" s="15">
        <f t="shared" ref="N24" si="26">M24+G24</f>
        <v>-409089.00934999995</v>
      </c>
    </row>
    <row r="25" spans="1:14" x14ac:dyDescent="0.35">
      <c r="A25" s="17" t="s">
        <v>61</v>
      </c>
      <c r="B25" s="17">
        <f>SUM(B24)</f>
        <v>-60541.050830000022</v>
      </c>
      <c r="C25" s="17">
        <f t="shared" ref="C25:G25" si="27">SUM(C24)</f>
        <v>-73160.038230000006</v>
      </c>
      <c r="D25" s="17">
        <f t="shared" si="27"/>
        <v>-83364.498329999944</v>
      </c>
      <c r="E25" s="17">
        <f t="shared" si="27"/>
        <v>-70012.58514000001</v>
      </c>
      <c r="F25" s="17">
        <f t="shared" si="27"/>
        <v>-56738.183719999972</v>
      </c>
      <c r="G25" s="17">
        <f t="shared" si="27"/>
        <v>-65272.653099999996</v>
      </c>
      <c r="I25" s="17">
        <f>SUM(I24)</f>
        <v>-60541.050830000022</v>
      </c>
      <c r="J25" s="17">
        <f t="shared" ref="J25:N25" si="28">SUM(J24)</f>
        <v>-133701.08906000003</v>
      </c>
      <c r="K25" s="17">
        <f t="shared" si="28"/>
        <v>-217065.58738999997</v>
      </c>
      <c r="L25" s="17">
        <f t="shared" si="28"/>
        <v>-287078.17252999998</v>
      </c>
      <c r="M25" s="17">
        <f t="shared" si="28"/>
        <v>-343816.35624999995</v>
      </c>
      <c r="N25" s="17">
        <f t="shared" si="28"/>
        <v>-409089.00934999995</v>
      </c>
    </row>
    <row r="26" spans="1:14" x14ac:dyDescent="0.35">
      <c r="A26" s="36"/>
      <c r="B26" s="36"/>
      <c r="C26" s="36"/>
      <c r="D26" s="36"/>
      <c r="E26" s="36"/>
      <c r="F26" s="36"/>
      <c r="G26" s="36"/>
      <c r="I26" s="36"/>
      <c r="J26" s="36"/>
      <c r="K26" s="36"/>
      <c r="L26" s="36"/>
      <c r="M26" s="36"/>
      <c r="N26" s="36"/>
    </row>
    <row r="27" spans="1:14" x14ac:dyDescent="0.35">
      <c r="A27" s="46" t="s">
        <v>66</v>
      </c>
      <c r="B27" s="46"/>
      <c r="C27" s="46"/>
      <c r="D27" s="46"/>
      <c r="E27" s="46"/>
      <c r="F27" s="46"/>
      <c r="G27" s="46"/>
      <c r="I27" s="46"/>
      <c r="J27" s="46"/>
      <c r="K27" s="46"/>
      <c r="L27" s="46"/>
      <c r="M27" s="46"/>
      <c r="N27" s="46"/>
    </row>
    <row r="28" spans="1:14" x14ac:dyDescent="0.35">
      <c r="A28" s="16" t="s">
        <v>51</v>
      </c>
      <c r="B28" s="16"/>
      <c r="C28" s="16"/>
      <c r="D28" s="16"/>
      <c r="E28" s="16"/>
      <c r="F28" s="16"/>
      <c r="G28" s="16"/>
      <c r="I28" s="16"/>
      <c r="J28" s="16"/>
      <c r="K28" s="16"/>
      <c r="L28" s="16"/>
      <c r="M28" s="16"/>
      <c r="N28" s="16"/>
    </row>
    <row r="29" spans="1:14" x14ac:dyDescent="0.35">
      <c r="A29" s="15" t="s">
        <v>40</v>
      </c>
      <c r="B29" s="15">
        <f>SUMIF('[1]P&amp;L LocCur'!$A:$A,A29,'[1]P&amp;L LocCur'!$V:$V)</f>
        <v>1596.3599199999996</v>
      </c>
      <c r="C29" s="15">
        <f>SUMIF('[1]P&amp;L LocCur'!$A:$A,A29,'[1]P&amp;L LocCur'!$W:$W)</f>
        <v>428.39589000000012</v>
      </c>
      <c r="D29" s="15">
        <f>SUMIF('[1]P&amp;L LocCur'!$A:$A,A29,'[1]P&amp;L LocCur'!$X:$X)</f>
        <v>13096.191569999997</v>
      </c>
      <c r="E29" s="15">
        <f>SUMIF('[1]P&amp;L LocCur'!$A:$A,A29,'[1]P&amp;L LocCur'!$Y:$Y)</f>
        <v>5134.8278500000024</v>
      </c>
      <c r="F29" s="15">
        <f>SUMIF('[1]P&amp;L LocCur'!$A:$A,A29,'[1]P&amp;L LocCur'!$Z:$Z)</f>
        <v>-24324.98315</v>
      </c>
      <c r="G29" s="15">
        <f>SUMIF('[1]P&amp;L LocCur'!$A:$A,A29,'[1]P&amp;L LocCur'!$AA:$AA)</f>
        <v>1493.1106199999992</v>
      </c>
      <c r="I29" s="15">
        <f>B29</f>
        <v>1596.3599199999996</v>
      </c>
      <c r="J29" s="15">
        <f>I29+C29</f>
        <v>2024.7558099999997</v>
      </c>
      <c r="K29" s="15">
        <f t="shared" ref="K29" si="29">J29+D29</f>
        <v>15120.947379999998</v>
      </c>
      <c r="L29" s="15">
        <f t="shared" ref="L29" si="30">K29+E29</f>
        <v>20255.775229999999</v>
      </c>
      <c r="M29" s="15">
        <f t="shared" ref="M29" si="31">L29+F29</f>
        <v>-4069.2079200000007</v>
      </c>
      <c r="N29" s="15">
        <f t="shared" ref="N29" si="32">M29+G29</f>
        <v>-2576.0973000000013</v>
      </c>
    </row>
    <row r="30" spans="1:14" x14ac:dyDescent="0.35">
      <c r="A30" s="36"/>
      <c r="B30" s="36"/>
      <c r="C30" s="36"/>
      <c r="D30" s="36"/>
      <c r="E30" s="36"/>
      <c r="F30" s="36"/>
      <c r="G30" s="36"/>
      <c r="I30" s="36"/>
      <c r="J30" s="36"/>
      <c r="K30" s="36"/>
      <c r="L30" s="36"/>
      <c r="M30" s="36"/>
      <c r="N30" s="36"/>
    </row>
    <row r="31" spans="1:14" x14ac:dyDescent="0.35">
      <c r="A31" s="46" t="s">
        <v>67</v>
      </c>
      <c r="B31" s="46"/>
      <c r="C31" s="46"/>
      <c r="D31" s="46"/>
      <c r="E31" s="46"/>
      <c r="F31" s="46"/>
      <c r="G31" s="46"/>
      <c r="I31" s="46"/>
      <c r="J31" s="46"/>
      <c r="K31" s="46"/>
      <c r="L31" s="46"/>
      <c r="M31" s="46"/>
      <c r="N31" s="46"/>
    </row>
    <row r="32" spans="1:14" x14ac:dyDescent="0.35">
      <c r="A32" s="16" t="s">
        <v>51</v>
      </c>
      <c r="B32" s="16"/>
      <c r="C32" s="16"/>
      <c r="D32" s="16"/>
      <c r="E32" s="16"/>
      <c r="F32" s="16"/>
      <c r="G32" s="16"/>
      <c r="I32" s="16"/>
      <c r="J32" s="16"/>
      <c r="K32" s="16"/>
      <c r="L32" s="16"/>
      <c r="M32" s="16"/>
      <c r="N32" s="16"/>
    </row>
    <row r="33" spans="1:14" x14ac:dyDescent="0.35">
      <c r="A33" s="15" t="s">
        <v>71</v>
      </c>
      <c r="B33" s="15">
        <f>SUMIF('[1]P&amp;L LocCur'!$A:$A,A33,'[1]P&amp;L LocCur'!$V:$V)</f>
        <v>-19017.89329479781</v>
      </c>
      <c r="C33" s="15">
        <f>SUMIF('[1]P&amp;L LocCur'!$A:$A,A33,'[1]P&amp;L LocCur'!$W:$W)</f>
        <v>-17609.284234797811</v>
      </c>
      <c r="D33" s="15">
        <f>SUMIF('[1]P&amp;L LocCur'!$A:$A,A33,'[1]P&amp;L LocCur'!$X:$X)</f>
        <v>-26571.80615479781</v>
      </c>
      <c r="E33" s="15">
        <f>SUMIF('[1]P&amp;L LocCur'!$A:$A,A33,'[1]P&amp;L LocCur'!$Y:$Y)</f>
        <v>-25293.840831612906</v>
      </c>
      <c r="F33" s="15">
        <f>SUMIF('[1]P&amp;L LocCur'!$A:$A,A33,'[1]P&amp;L LocCur'!$Z:$Z)</f>
        <v>-21898.684351612901</v>
      </c>
      <c r="G33" s="15">
        <f>SUMIF('[1]P&amp;L LocCur'!$A:$A,A33,'[1]P&amp;L LocCur'!$AA:$AA)</f>
        <v>-19233.911431612898</v>
      </c>
      <c r="I33" s="15">
        <f t="shared" ref="I33:I35" si="33">B33</f>
        <v>-19017.89329479781</v>
      </c>
      <c r="J33" s="15">
        <f t="shared" ref="J33:J35" si="34">I33+C33</f>
        <v>-36627.177529595618</v>
      </c>
      <c r="K33" s="15">
        <f t="shared" ref="K33:K35" si="35">J33+D33</f>
        <v>-63198.983684393432</v>
      </c>
      <c r="L33" s="15">
        <f t="shared" ref="L33:L35" si="36">K33+E33</f>
        <v>-88492.824516006338</v>
      </c>
      <c r="M33" s="15">
        <f t="shared" ref="M33:M35" si="37">L33+F33</f>
        <v>-110391.50886761924</v>
      </c>
      <c r="N33" s="15">
        <f t="shared" ref="N33:N35" si="38">M33+G33</f>
        <v>-129625.42029923214</v>
      </c>
    </row>
    <row r="34" spans="1:14" x14ac:dyDescent="0.35">
      <c r="A34" s="15" t="s">
        <v>72</v>
      </c>
      <c r="B34" s="15">
        <f>SUMIF('[1]P&amp;L LocCur'!$A:$A,A34,'[1]P&amp;L LocCur'!$V:$V)</f>
        <v>0</v>
      </c>
      <c r="C34" s="15">
        <f>SUMIF('[1]P&amp;L LocCur'!$A:$A,A34,'[1]P&amp;L LocCur'!$W:$W)</f>
        <v>0</v>
      </c>
      <c r="D34" s="15">
        <f>SUMIF('[1]P&amp;L LocCur'!$A:$A,A34,'[1]P&amp;L LocCur'!$X:$X)</f>
        <v>0</v>
      </c>
      <c r="E34" s="15">
        <f>SUMIF('[1]P&amp;L LocCur'!$A:$A,A34,'[1]P&amp;L LocCur'!$Y:$Y)</f>
        <v>0</v>
      </c>
      <c r="F34" s="15">
        <f>SUMIF('[1]P&amp;L LocCur'!$A:$A,A34,'[1]P&amp;L LocCur'!$Z:$Z)</f>
        <v>0</v>
      </c>
      <c r="G34" s="15">
        <f>SUMIF('[1]P&amp;L LocCur'!$A:$A,A34,'[1]P&amp;L LocCur'!$AA:$AA)</f>
        <v>0</v>
      </c>
      <c r="I34" s="15">
        <f t="shared" si="33"/>
        <v>0</v>
      </c>
      <c r="J34" s="15">
        <f t="shared" si="34"/>
        <v>0</v>
      </c>
      <c r="K34" s="15">
        <f t="shared" si="35"/>
        <v>0</v>
      </c>
      <c r="L34" s="15">
        <f t="shared" si="36"/>
        <v>0</v>
      </c>
      <c r="M34" s="15">
        <f t="shared" si="37"/>
        <v>0</v>
      </c>
      <c r="N34" s="15">
        <f t="shared" si="38"/>
        <v>0</v>
      </c>
    </row>
    <row r="35" spans="1:14" x14ac:dyDescent="0.35">
      <c r="A35" s="15" t="s">
        <v>73</v>
      </c>
      <c r="B35" s="15">
        <f>SUMIF('[1]P&amp;L LocCur'!$A:$A,A35,'[1]P&amp;L LocCur'!$V:$V)</f>
        <v>0</v>
      </c>
      <c r="C35" s="15">
        <f>SUMIF('[1]P&amp;L LocCur'!$A:$A,A35,'[1]P&amp;L LocCur'!$W:$W)</f>
        <v>0</v>
      </c>
      <c r="D35" s="15">
        <f>SUMIF('[1]P&amp;L LocCur'!$A:$A,A35,'[1]P&amp;L LocCur'!$X:$X)</f>
        <v>0</v>
      </c>
      <c r="E35" s="15">
        <f>SUMIF('[1]P&amp;L LocCur'!$A:$A,A35,'[1]P&amp;L LocCur'!$Y:$Y)</f>
        <v>0</v>
      </c>
      <c r="F35" s="15">
        <f>SUMIF('[1]P&amp;L LocCur'!$A:$A,A35,'[1]P&amp;L LocCur'!$Z:$Z)</f>
        <v>0</v>
      </c>
      <c r="G35" s="15">
        <f>SUMIF('[1]P&amp;L LocCur'!$A:$A,A35,'[1]P&amp;L LocCur'!$AA:$AA)</f>
        <v>0</v>
      </c>
      <c r="I35" s="15">
        <f t="shared" si="33"/>
        <v>0</v>
      </c>
      <c r="J35" s="15">
        <f t="shared" si="34"/>
        <v>0</v>
      </c>
      <c r="K35" s="15">
        <f t="shared" si="35"/>
        <v>0</v>
      </c>
      <c r="L35" s="15">
        <f t="shared" si="36"/>
        <v>0</v>
      </c>
      <c r="M35" s="15">
        <f t="shared" si="37"/>
        <v>0</v>
      </c>
      <c r="N35" s="15">
        <f t="shared" si="38"/>
        <v>0</v>
      </c>
    </row>
    <row r="36" spans="1:14" x14ac:dyDescent="0.35">
      <c r="A36" s="17" t="s">
        <v>61</v>
      </c>
      <c r="B36" s="17">
        <f>SUM(B33:B35)</f>
        <v>-19017.89329479781</v>
      </c>
      <c r="C36" s="17">
        <f t="shared" ref="C36:G36" si="39">SUM(C33:C35)</f>
        <v>-17609.284234797811</v>
      </c>
      <c r="D36" s="17">
        <f t="shared" si="39"/>
        <v>-26571.80615479781</v>
      </c>
      <c r="E36" s="17">
        <f t="shared" si="39"/>
        <v>-25293.840831612906</v>
      </c>
      <c r="F36" s="17">
        <f t="shared" si="39"/>
        <v>-21898.684351612901</v>
      </c>
      <c r="G36" s="17">
        <f t="shared" si="39"/>
        <v>-19233.911431612898</v>
      </c>
      <c r="I36" s="17">
        <f>SUM(I33:I35)</f>
        <v>-19017.89329479781</v>
      </c>
      <c r="J36" s="17">
        <f t="shared" ref="J36:N36" si="40">SUM(J33:J35)</f>
        <v>-36627.177529595618</v>
      </c>
      <c r="K36" s="17">
        <f t="shared" si="40"/>
        <v>-63198.983684393432</v>
      </c>
      <c r="L36" s="17">
        <f t="shared" si="40"/>
        <v>-88492.824516006338</v>
      </c>
      <c r="M36" s="17">
        <f t="shared" si="40"/>
        <v>-110391.50886761924</v>
      </c>
      <c r="N36" s="17">
        <f t="shared" si="40"/>
        <v>-129625.42029923214</v>
      </c>
    </row>
    <row r="37" spans="1:14" x14ac:dyDescent="0.35">
      <c r="A37" s="36"/>
      <c r="B37" s="36"/>
      <c r="C37" s="36"/>
      <c r="D37" s="36"/>
      <c r="E37" s="36"/>
      <c r="F37" s="36"/>
      <c r="G37" s="36"/>
      <c r="I37" s="36"/>
      <c r="J37" s="36"/>
      <c r="K37" s="36"/>
      <c r="L37" s="36"/>
      <c r="M37" s="36"/>
      <c r="N37" s="36"/>
    </row>
    <row r="38" spans="1:14" x14ac:dyDescent="0.35">
      <c r="A38" s="46" t="s">
        <v>68</v>
      </c>
      <c r="B38" s="46"/>
      <c r="C38" s="46"/>
      <c r="D38" s="46"/>
      <c r="E38" s="46"/>
      <c r="F38" s="46"/>
      <c r="G38" s="46"/>
      <c r="I38" s="46"/>
      <c r="J38" s="46"/>
      <c r="K38" s="46"/>
      <c r="L38" s="46"/>
      <c r="M38" s="46"/>
      <c r="N38" s="46"/>
    </row>
    <row r="39" spans="1:14" x14ac:dyDescent="0.35">
      <c r="A39" s="16" t="s">
        <v>51</v>
      </c>
      <c r="B39" s="16"/>
      <c r="C39" s="16"/>
      <c r="D39" s="16"/>
      <c r="E39" s="16"/>
      <c r="F39" s="16"/>
      <c r="G39" s="16"/>
      <c r="I39" s="16"/>
      <c r="J39" s="16"/>
      <c r="K39" s="16"/>
      <c r="L39" s="16"/>
      <c r="M39" s="16"/>
      <c r="N39" s="16"/>
    </row>
    <row r="40" spans="1:14" x14ac:dyDescent="0.35">
      <c r="A40" s="15" t="s">
        <v>74</v>
      </c>
      <c r="B40" s="15"/>
      <c r="C40" s="15"/>
      <c r="D40" s="15"/>
      <c r="E40" s="15"/>
      <c r="F40" s="15"/>
      <c r="G40" s="15"/>
      <c r="I40" s="15"/>
      <c r="J40" s="15"/>
      <c r="K40" s="15"/>
      <c r="L40" s="15"/>
      <c r="M40" s="15"/>
      <c r="N40" s="15"/>
    </row>
    <row r="41" spans="1:14" x14ac:dyDescent="0.35">
      <c r="A41" s="15" t="s">
        <v>75</v>
      </c>
      <c r="B41" s="15">
        <f>SUMIF('[1]P&amp;L LocCur'!$A:$A,A41,'[1]P&amp;L LocCur'!$V:$V)</f>
        <v>0</v>
      </c>
      <c r="C41" s="15">
        <f>SUMIF('[1]P&amp;L LocCur'!$A:$A,A41,'[1]P&amp;L LocCur'!$W:$W)</f>
        <v>0</v>
      </c>
      <c r="D41" s="15">
        <f>SUMIF('[1]P&amp;L LocCur'!$A:$A,A41,'[1]P&amp;L LocCur'!$X:$X)</f>
        <v>0</v>
      </c>
      <c r="E41" s="15">
        <f>SUMIF('[1]P&amp;L LocCur'!$A:$A,A41,'[1]P&amp;L LocCur'!$Y:$Y)</f>
        <v>0</v>
      </c>
      <c r="F41" s="15">
        <f>SUMIF('[1]P&amp;L LocCur'!$A:$A,A41,'[1]P&amp;L LocCur'!$Z:$Z)</f>
        <v>0</v>
      </c>
      <c r="G41" s="15">
        <f>SUMIF('[1]P&amp;L LocCur'!$A:$A,A41,'[1]P&amp;L LocCur'!$AA:$AA)</f>
        <v>0</v>
      </c>
      <c r="I41" s="15">
        <f t="shared" ref="I41:I43" si="41">B41</f>
        <v>0</v>
      </c>
      <c r="J41" s="15">
        <f t="shared" ref="J41:J43" si="42">I41+C41</f>
        <v>0</v>
      </c>
      <c r="K41" s="15">
        <f t="shared" ref="K41:K43" si="43">J41+D41</f>
        <v>0</v>
      </c>
      <c r="L41" s="15">
        <f t="shared" ref="L41:L43" si="44">K41+E41</f>
        <v>0</v>
      </c>
      <c r="M41" s="15">
        <f t="shared" ref="M41:M43" si="45">L41+F41</f>
        <v>0</v>
      </c>
      <c r="N41" s="15">
        <f t="shared" ref="N41:N43" si="46">M41+G41</f>
        <v>0</v>
      </c>
    </row>
    <row r="42" spans="1:14" x14ac:dyDescent="0.35">
      <c r="A42" s="15" t="s">
        <v>76</v>
      </c>
      <c r="B42" s="15">
        <f>SUMIF('[1]P&amp;L LocCur'!$A:$A,A42,'[1]P&amp;L LocCur'!$V:$V)</f>
        <v>0</v>
      </c>
      <c r="C42" s="15">
        <f>SUMIF('[1]P&amp;L LocCur'!$A:$A,A42,'[1]P&amp;L LocCur'!$W:$W)</f>
        <v>0</v>
      </c>
      <c r="D42" s="15">
        <f>SUMIF('[1]P&amp;L LocCur'!$A:$A,A42,'[1]P&amp;L LocCur'!$X:$X)</f>
        <v>0</v>
      </c>
      <c r="E42" s="15">
        <f>SUMIF('[1]P&amp;L LocCur'!$A:$A,A42,'[1]P&amp;L LocCur'!$Y:$Y)</f>
        <v>0</v>
      </c>
      <c r="F42" s="15">
        <f>SUMIF('[1]P&amp;L LocCur'!$A:$A,A42,'[1]P&amp;L LocCur'!$Z:$Z)</f>
        <v>0</v>
      </c>
      <c r="G42" s="15">
        <f>SUMIF('[1]P&amp;L LocCur'!$A:$A,A42,'[1]P&amp;L LocCur'!$AA:$AA)</f>
        <v>0</v>
      </c>
      <c r="I42" s="15">
        <f t="shared" si="41"/>
        <v>0</v>
      </c>
      <c r="J42" s="15">
        <f t="shared" si="42"/>
        <v>0</v>
      </c>
      <c r="K42" s="15">
        <f t="shared" si="43"/>
        <v>0</v>
      </c>
      <c r="L42" s="15">
        <f t="shared" si="44"/>
        <v>0</v>
      </c>
      <c r="M42" s="15">
        <f t="shared" si="45"/>
        <v>0</v>
      </c>
      <c r="N42" s="15">
        <f t="shared" si="46"/>
        <v>0</v>
      </c>
    </row>
    <row r="43" spans="1:14" x14ac:dyDescent="0.35">
      <c r="A43" s="15" t="s">
        <v>77</v>
      </c>
      <c r="B43" s="15">
        <f>SUMIF('[1]P&amp;L LocCur'!$A:$A,A43,'[1]P&amp;L LocCur'!$V:$V)</f>
        <v>0</v>
      </c>
      <c r="C43" s="15">
        <f>SUMIF('[1]P&amp;L LocCur'!$A:$A,A43,'[1]P&amp;L LocCur'!$W:$W)</f>
        <v>0</v>
      </c>
      <c r="D43" s="15">
        <f>SUMIF('[1]P&amp;L LocCur'!$A:$A,A43,'[1]P&amp;L LocCur'!$X:$X)</f>
        <v>0</v>
      </c>
      <c r="E43" s="15">
        <f>SUMIF('[1]P&amp;L LocCur'!$A:$A,A43,'[1]P&amp;L LocCur'!$Y:$Y)</f>
        <v>0</v>
      </c>
      <c r="F43" s="15">
        <f>SUMIF('[1]P&amp;L LocCur'!$A:$A,A43,'[1]P&amp;L LocCur'!$Z:$Z)</f>
        <v>0</v>
      </c>
      <c r="G43" s="15">
        <f>SUMIF('[1]P&amp;L LocCur'!$A:$A,A43,'[1]P&amp;L LocCur'!$AA:$AA)</f>
        <v>0</v>
      </c>
      <c r="I43" s="15">
        <f t="shared" si="41"/>
        <v>0</v>
      </c>
      <c r="J43" s="15">
        <f t="shared" si="42"/>
        <v>0</v>
      </c>
      <c r="K43" s="15">
        <f t="shared" si="43"/>
        <v>0</v>
      </c>
      <c r="L43" s="15">
        <f t="shared" si="44"/>
        <v>0</v>
      </c>
      <c r="M43" s="15">
        <f t="shared" si="45"/>
        <v>0</v>
      </c>
      <c r="N43" s="15">
        <f t="shared" si="46"/>
        <v>0</v>
      </c>
    </row>
    <row r="44" spans="1:14" x14ac:dyDescent="0.35">
      <c r="A44" s="17" t="s">
        <v>61</v>
      </c>
      <c r="B44" s="17">
        <f>SUM(B41:B43)</f>
        <v>0</v>
      </c>
      <c r="C44" s="17">
        <f t="shared" ref="C44:G44" si="47">SUM(C41:C43)</f>
        <v>0</v>
      </c>
      <c r="D44" s="17">
        <f t="shared" si="47"/>
        <v>0</v>
      </c>
      <c r="E44" s="17">
        <f t="shared" si="47"/>
        <v>0</v>
      </c>
      <c r="F44" s="17">
        <f t="shared" si="47"/>
        <v>0</v>
      </c>
      <c r="G44" s="17">
        <f t="shared" si="47"/>
        <v>0</v>
      </c>
      <c r="I44" s="17">
        <f>SUM(I41:I43)</f>
        <v>0</v>
      </c>
      <c r="J44" s="17">
        <f t="shared" ref="J44:N44" si="48">SUM(J41:J43)</f>
        <v>0</v>
      </c>
      <c r="K44" s="17">
        <f t="shared" si="48"/>
        <v>0</v>
      </c>
      <c r="L44" s="17">
        <f t="shared" si="48"/>
        <v>0</v>
      </c>
      <c r="M44" s="17">
        <f t="shared" si="48"/>
        <v>0</v>
      </c>
      <c r="N44" s="17">
        <f t="shared" si="48"/>
        <v>0</v>
      </c>
    </row>
    <row r="45" spans="1:14" x14ac:dyDescent="0.35">
      <c r="A45" s="36"/>
      <c r="B45" s="36"/>
      <c r="C45" s="36"/>
      <c r="D45" s="36"/>
      <c r="E45" s="36"/>
      <c r="F45" s="36"/>
      <c r="G45" s="36"/>
      <c r="I45" s="36"/>
    </row>
    <row r="46" spans="1:14" x14ac:dyDescent="0.35">
      <c r="A46" s="46" t="s">
        <v>69</v>
      </c>
      <c r="B46" s="46"/>
      <c r="C46" s="46"/>
      <c r="D46" s="46"/>
      <c r="E46" s="46"/>
      <c r="F46" s="46"/>
      <c r="G46" s="46"/>
      <c r="I46" s="46"/>
      <c r="J46" s="46"/>
      <c r="K46" s="46"/>
      <c r="L46" s="46"/>
      <c r="M46" s="46"/>
      <c r="N46" s="46"/>
    </row>
    <row r="47" spans="1:14" x14ac:dyDescent="0.35">
      <c r="A47" s="16" t="s">
        <v>51</v>
      </c>
      <c r="B47" s="16"/>
      <c r="C47" s="16"/>
      <c r="D47" s="16"/>
      <c r="E47" s="16"/>
      <c r="F47" s="16"/>
      <c r="G47" s="16"/>
      <c r="I47" s="16"/>
      <c r="J47" s="16"/>
      <c r="K47" s="16"/>
      <c r="L47" s="16"/>
      <c r="M47" s="16"/>
      <c r="N47" s="16"/>
    </row>
    <row r="48" spans="1:14" x14ac:dyDescent="0.35">
      <c r="A48" s="15" t="s">
        <v>78</v>
      </c>
      <c r="B48" s="15">
        <f>SUMIF('[1]P&amp;L LocCur'!$A:$A,A48,'[1]P&amp;L LocCur'!$V:$V)</f>
        <v>-2977.552826151732</v>
      </c>
      <c r="C48" s="15">
        <f>SUMIF('[1]P&amp;L LocCur'!$A:$A,A48,'[1]P&amp;L LocCur'!$W:$W)</f>
        <v>-2736.5834227924261</v>
      </c>
      <c r="D48" s="15">
        <f>SUMIF('[1]P&amp;L LocCur'!$A:$A,A48,'[1]P&amp;L LocCur'!$X:$X)</f>
        <v>457.03944497191151</v>
      </c>
      <c r="E48" s="15">
        <f>SUMIF('[1]P&amp;L LocCur'!$A:$A,A48,'[1]P&amp;L LocCur'!$Y:$Y)</f>
        <v>-6048.9160036072717</v>
      </c>
      <c r="F48" s="15">
        <f>SUMIF('[1]P&amp;L LocCur'!$A:$A,A48,'[1]P&amp;L LocCur'!$Z:$Z)</f>
        <v>-3057.3773986306915</v>
      </c>
      <c r="G48" s="15">
        <f>SUMIF('[1]P&amp;L LocCur'!$A:$A,A48,'[1]P&amp;L LocCur'!$AA:$AA)</f>
        <v>-5915.0699999999961</v>
      </c>
      <c r="I48" s="15">
        <f t="shared" ref="I48:I49" si="49">B48</f>
        <v>-2977.552826151732</v>
      </c>
      <c r="J48" s="15">
        <f t="shared" ref="J48:J49" si="50">I48+C48</f>
        <v>-5714.1362489441581</v>
      </c>
      <c r="K48" s="15">
        <f t="shared" ref="K48:K49" si="51">J48+D48</f>
        <v>-5257.0968039722466</v>
      </c>
      <c r="L48" s="15">
        <f t="shared" ref="L48:L49" si="52">K48+E48</f>
        <v>-11306.012807579518</v>
      </c>
      <c r="M48" s="15">
        <f t="shared" ref="M48:M49" si="53">L48+F48</f>
        <v>-14363.39020621021</v>
      </c>
      <c r="N48" s="15">
        <f t="shared" ref="N48:N49" si="54">M48+G48</f>
        <v>-20278.460206210206</v>
      </c>
    </row>
    <row r="49" spans="1:14" x14ac:dyDescent="0.35">
      <c r="A49" s="15" t="s">
        <v>79</v>
      </c>
      <c r="B49" s="15">
        <f>SUMIF('[1]P&amp;L LocCur'!$A:$A,A49,'[1]P&amp;L LocCur'!$V:$V)</f>
        <v>0</v>
      </c>
      <c r="C49" s="15">
        <f>SUMIF('[1]P&amp;L LocCur'!$A:$A,A49,'[1]P&amp;L LocCur'!$W:$W)</f>
        <v>0</v>
      </c>
      <c r="D49" s="15">
        <f>SUMIF('[1]P&amp;L LocCur'!$A:$A,A49,'[1]P&amp;L LocCur'!$X:$X)</f>
        <v>0</v>
      </c>
      <c r="E49" s="15">
        <f>SUMIF('[1]P&amp;L LocCur'!$A:$A,A49,'[1]P&amp;L LocCur'!$Y:$Y)</f>
        <v>0</v>
      </c>
      <c r="F49" s="15">
        <f>SUMIF('[1]P&amp;L LocCur'!$A:$A,A49,'[1]P&amp;L LocCur'!$Z:$Z)</f>
        <v>0</v>
      </c>
      <c r="G49" s="15">
        <f>SUMIF('[1]P&amp;L LocCur'!$A:$A,A49,'[1]P&amp;L LocCur'!$AA:$AA)</f>
        <v>0</v>
      </c>
      <c r="I49" s="15">
        <f t="shared" si="49"/>
        <v>0</v>
      </c>
      <c r="J49" s="15">
        <f t="shared" si="50"/>
        <v>0</v>
      </c>
      <c r="K49" s="15">
        <f t="shared" si="51"/>
        <v>0</v>
      </c>
      <c r="L49" s="15">
        <f t="shared" si="52"/>
        <v>0</v>
      </c>
      <c r="M49" s="15">
        <f t="shared" si="53"/>
        <v>0</v>
      </c>
      <c r="N49" s="15">
        <f t="shared" si="54"/>
        <v>0</v>
      </c>
    </row>
    <row r="50" spans="1:14" x14ac:dyDescent="0.35">
      <c r="A50" s="17" t="s">
        <v>61</v>
      </c>
      <c r="B50" s="17">
        <f>SUM(B48:B49)</f>
        <v>-2977.552826151732</v>
      </c>
      <c r="C50" s="17">
        <f t="shared" ref="C50:G50" si="55">SUM(C48:C49)</f>
        <v>-2736.5834227924261</v>
      </c>
      <c r="D50" s="17">
        <f t="shared" si="55"/>
        <v>457.03944497191151</v>
      </c>
      <c r="E50" s="17">
        <f t="shared" si="55"/>
        <v>-6048.9160036072717</v>
      </c>
      <c r="F50" s="17">
        <f t="shared" si="55"/>
        <v>-3057.3773986306915</v>
      </c>
      <c r="G50" s="17">
        <f t="shared" si="55"/>
        <v>-5915.0699999999961</v>
      </c>
      <c r="I50" s="17">
        <f>SUM(I48:I49)</f>
        <v>-2977.552826151732</v>
      </c>
      <c r="J50" s="17">
        <f t="shared" ref="J50:N50" si="56">SUM(J48:J49)</f>
        <v>-5714.1362489441581</v>
      </c>
      <c r="K50" s="17">
        <f t="shared" si="56"/>
        <v>-5257.0968039722466</v>
      </c>
      <c r="L50" s="17">
        <f t="shared" si="56"/>
        <v>-11306.012807579518</v>
      </c>
      <c r="M50" s="17">
        <f t="shared" si="56"/>
        <v>-14363.39020621021</v>
      </c>
      <c r="N50" s="17">
        <f t="shared" si="56"/>
        <v>-20278.460206210206</v>
      </c>
    </row>
    <row r="51" spans="1:14" x14ac:dyDescent="0.35">
      <c r="A51" s="37"/>
      <c r="B51" s="38"/>
      <c r="C51" s="38"/>
      <c r="D51" s="38"/>
      <c r="E51" s="38"/>
      <c r="F51" s="38"/>
      <c r="G51" s="38"/>
      <c r="I51" s="38"/>
    </row>
    <row r="52" spans="1:14" x14ac:dyDescent="0.35">
      <c r="A52" s="46" t="s">
        <v>70</v>
      </c>
      <c r="B52" s="46"/>
      <c r="C52" s="46"/>
      <c r="D52" s="46"/>
      <c r="E52" s="46"/>
      <c r="F52" s="46"/>
      <c r="G52" s="46"/>
      <c r="I52" s="46"/>
      <c r="J52" s="46"/>
      <c r="K52" s="46"/>
      <c r="L52" s="46"/>
      <c r="M52" s="46"/>
      <c r="N52" s="46"/>
    </row>
    <row r="53" spans="1:14" x14ac:dyDescent="0.35">
      <c r="A53" s="16" t="s">
        <v>51</v>
      </c>
      <c r="B53" s="16"/>
      <c r="C53" s="16"/>
      <c r="D53" s="16"/>
      <c r="E53" s="16"/>
      <c r="F53" s="16"/>
      <c r="G53" s="16"/>
      <c r="I53" s="16"/>
      <c r="J53" s="16"/>
      <c r="K53" s="16"/>
      <c r="L53" s="16"/>
      <c r="M53" s="16"/>
      <c r="N53" s="16"/>
    </row>
    <row r="54" spans="1:14" x14ac:dyDescent="0.35">
      <c r="A54" s="15" t="s">
        <v>80</v>
      </c>
      <c r="B54" s="15">
        <f>SUMIF('[1]P&amp;L LocCur'!$A:$A,A54,'[1]P&amp;L LocCur'!$V:$V)</f>
        <v>0</v>
      </c>
      <c r="C54" s="15">
        <f>SUMIF('[1]P&amp;L LocCur'!$A:$A,A54,'[1]P&amp;L LocCur'!$W:$W)</f>
        <v>0</v>
      </c>
      <c r="D54" s="15">
        <f>SUMIF('[1]P&amp;L LocCur'!$A:$A,A54,'[1]P&amp;L LocCur'!$X:$X)</f>
        <v>0</v>
      </c>
      <c r="E54" s="15">
        <f>SUMIF('[1]P&amp;L LocCur'!$A:$A,A54,'[1]P&amp;L LocCur'!$Y:$Y)</f>
        <v>0</v>
      </c>
      <c r="F54" s="15">
        <f>SUMIF('[1]P&amp;L LocCur'!$A:$A,A54,'[1]P&amp;L LocCur'!$Z:$Z)</f>
        <v>0</v>
      </c>
      <c r="G54" s="15">
        <f>SUMIF('[1]P&amp;L LocCur'!$A:$A,A54,'[1]P&amp;L LocCur'!$AA:$AA)</f>
        <v>0</v>
      </c>
      <c r="I54" s="15">
        <f t="shared" ref="I54:I78" si="57">B54</f>
        <v>0</v>
      </c>
      <c r="J54" s="15">
        <f t="shared" ref="J54:J78" si="58">I54+C54</f>
        <v>0</v>
      </c>
      <c r="K54" s="15">
        <f t="shared" ref="K54:K78" si="59">J54+D54</f>
        <v>0</v>
      </c>
      <c r="L54" s="15">
        <f t="shared" ref="L54:L78" si="60">K54+E54</f>
        <v>0</v>
      </c>
      <c r="M54" s="15">
        <f t="shared" ref="M54:M78" si="61">L54+F54</f>
        <v>0</v>
      </c>
      <c r="N54" s="15">
        <f t="shared" ref="N54:N78" si="62">M54+G54</f>
        <v>0</v>
      </c>
    </row>
    <row r="55" spans="1:14" x14ac:dyDescent="0.35">
      <c r="A55" s="15" t="s">
        <v>81</v>
      </c>
      <c r="B55" s="15">
        <f>SUMIF('[1]P&amp;L LocCur'!$A:$A,A55,'[1]P&amp;L LocCur'!$V:$V)</f>
        <v>0</v>
      </c>
      <c r="C55" s="15">
        <f>SUMIF('[1]P&amp;L LocCur'!$A:$A,A55,'[1]P&amp;L LocCur'!$W:$W)</f>
        <v>0</v>
      </c>
      <c r="D55" s="15">
        <f>SUMIF('[1]P&amp;L LocCur'!$A:$A,A55,'[1]P&amp;L LocCur'!$X:$X)</f>
        <v>0</v>
      </c>
      <c r="E55" s="15">
        <f>SUMIF('[1]P&amp;L LocCur'!$A:$A,A55,'[1]P&amp;L LocCur'!$Y:$Y)</f>
        <v>0</v>
      </c>
      <c r="F55" s="15">
        <f>SUMIF('[1]P&amp;L LocCur'!$A:$A,A55,'[1]P&amp;L LocCur'!$Z:$Z)</f>
        <v>0</v>
      </c>
      <c r="G55" s="15">
        <f>SUMIF('[1]P&amp;L LocCur'!$A:$A,A55,'[1]P&amp;L LocCur'!$AA:$AA)</f>
        <v>0</v>
      </c>
      <c r="I55" s="15">
        <f t="shared" si="57"/>
        <v>0</v>
      </c>
      <c r="J55" s="15">
        <f t="shared" si="58"/>
        <v>0</v>
      </c>
      <c r="K55" s="15">
        <f t="shared" si="59"/>
        <v>0</v>
      </c>
      <c r="L55" s="15">
        <f t="shared" si="60"/>
        <v>0</v>
      </c>
      <c r="M55" s="15">
        <f t="shared" si="61"/>
        <v>0</v>
      </c>
      <c r="N55" s="15">
        <f t="shared" si="62"/>
        <v>0</v>
      </c>
    </row>
    <row r="56" spans="1:14" x14ac:dyDescent="0.35">
      <c r="A56" s="15" t="s">
        <v>82</v>
      </c>
      <c r="B56" s="15">
        <f>SUMIF('[1]P&amp;L LocCur'!$A:$A,A56,'[1]P&amp;L LocCur'!$V:$V)</f>
        <v>0</v>
      </c>
      <c r="C56" s="15">
        <f>SUMIF('[1]P&amp;L LocCur'!$A:$A,A56,'[1]P&amp;L LocCur'!$W:$W)</f>
        <v>0</v>
      </c>
      <c r="D56" s="15">
        <f>SUMIF('[1]P&amp;L LocCur'!$A:$A,A56,'[1]P&amp;L LocCur'!$X:$X)</f>
        <v>0</v>
      </c>
      <c r="E56" s="15">
        <f>SUMIF('[1]P&amp;L LocCur'!$A:$A,A56,'[1]P&amp;L LocCur'!$Y:$Y)</f>
        <v>0</v>
      </c>
      <c r="F56" s="15">
        <f>SUMIF('[1]P&amp;L LocCur'!$A:$A,A56,'[1]P&amp;L LocCur'!$Z:$Z)</f>
        <v>0</v>
      </c>
      <c r="G56" s="15">
        <f>SUMIF('[1]P&amp;L LocCur'!$A:$A,A56,'[1]P&amp;L LocCur'!$AA:$AA)</f>
        <v>0</v>
      </c>
      <c r="I56" s="15">
        <f t="shared" si="57"/>
        <v>0</v>
      </c>
      <c r="J56" s="15">
        <f t="shared" si="58"/>
        <v>0</v>
      </c>
      <c r="K56" s="15">
        <f t="shared" si="59"/>
        <v>0</v>
      </c>
      <c r="L56" s="15">
        <f t="shared" si="60"/>
        <v>0</v>
      </c>
      <c r="M56" s="15">
        <f t="shared" si="61"/>
        <v>0</v>
      </c>
      <c r="N56" s="15">
        <f t="shared" si="62"/>
        <v>0</v>
      </c>
    </row>
    <row r="57" spans="1:14" x14ac:dyDescent="0.35">
      <c r="A57" s="15" t="s">
        <v>83</v>
      </c>
      <c r="B57" s="15">
        <f>SUMIF('[1]P&amp;L LocCur'!$A:$A,A57,'[1]P&amp;L LocCur'!$V:$V)</f>
        <v>-1682.8138000000001</v>
      </c>
      <c r="C57" s="15">
        <f>SUMIF('[1]P&amp;L LocCur'!$A:$A,A57,'[1]P&amp;L LocCur'!$W:$W)</f>
        <v>-1614.0816599999996</v>
      </c>
      <c r="D57" s="15">
        <f>SUMIF('[1]P&amp;L LocCur'!$A:$A,A57,'[1]P&amp;L LocCur'!$X:$X)</f>
        <v>-1500.576</v>
      </c>
      <c r="E57" s="15">
        <f>SUMIF('[1]P&amp;L LocCur'!$A:$A,A57,'[1]P&amp;L LocCur'!$Y:$Y)</f>
        <v>-1473.4390000000003</v>
      </c>
      <c r="F57" s="15">
        <f>SUMIF('[1]P&amp;L LocCur'!$A:$A,A57,'[1]P&amp;L LocCur'!$Z:$Z)</f>
        <v>-1325.1668</v>
      </c>
      <c r="G57" s="15">
        <f>SUMIF('[1]P&amp;L LocCur'!$A:$A,A57,'[1]P&amp;L LocCur'!$AA:$AA)</f>
        <v>-1584.1059999999998</v>
      </c>
      <c r="I57" s="15">
        <f t="shared" si="57"/>
        <v>-1682.8138000000001</v>
      </c>
      <c r="J57" s="15">
        <f t="shared" si="58"/>
        <v>-3296.8954599999997</v>
      </c>
      <c r="K57" s="15">
        <f t="shared" si="59"/>
        <v>-4797.4714599999998</v>
      </c>
      <c r="L57" s="15">
        <f t="shared" si="60"/>
        <v>-6270.9104600000001</v>
      </c>
      <c r="M57" s="15">
        <f t="shared" si="61"/>
        <v>-7596.07726</v>
      </c>
      <c r="N57" s="15">
        <f t="shared" si="62"/>
        <v>-9180.1832599999998</v>
      </c>
    </row>
    <row r="58" spans="1:14" x14ac:dyDescent="0.35">
      <c r="A58" s="15" t="s">
        <v>108</v>
      </c>
      <c r="B58" s="15">
        <f>SUMIF('[1]P&amp;L LocCur'!$A:$A,A58,'[1]P&amp;L LocCur'!$V:$V)</f>
        <v>-3228.98497</v>
      </c>
      <c r="C58" s="15">
        <f>SUMIF('[1]P&amp;L LocCur'!$A:$A,A58,'[1]P&amp;L LocCur'!$W:$W)</f>
        <v>-2203.9826600000001</v>
      </c>
      <c r="D58" s="15">
        <f>SUMIF('[1]P&amp;L LocCur'!$A:$A,A58,'[1]P&amp;L LocCur'!$X:$X)</f>
        <v>-3793.2152599999999</v>
      </c>
      <c r="E58" s="15">
        <f>SUMIF('[1]P&amp;L LocCur'!$A:$A,A58,'[1]P&amp;L LocCur'!$Y:$Y)</f>
        <v>-2528.0900699999988</v>
      </c>
      <c r="F58" s="15">
        <f>SUMIF('[1]P&amp;L LocCur'!$A:$A,A58,'[1]P&amp;L LocCur'!$Z:$Z)</f>
        <v>-2952.5009300000006</v>
      </c>
      <c r="G58" s="15">
        <f>SUMIF('[1]P&amp;L LocCur'!$A:$A,A58,'[1]P&amp;L LocCur'!$AA:$AA)</f>
        <v>-4398.9444199999998</v>
      </c>
      <c r="I58" s="15">
        <f t="shared" si="57"/>
        <v>-3228.98497</v>
      </c>
      <c r="J58" s="15">
        <f t="shared" si="58"/>
        <v>-5432.9676300000001</v>
      </c>
      <c r="K58" s="15">
        <f t="shared" si="59"/>
        <v>-9226.18289</v>
      </c>
      <c r="L58" s="15">
        <f t="shared" si="60"/>
        <v>-11754.272959999998</v>
      </c>
      <c r="M58" s="15">
        <f t="shared" si="61"/>
        <v>-14706.773889999999</v>
      </c>
      <c r="N58" s="15">
        <f t="shared" si="62"/>
        <v>-19105.718309999997</v>
      </c>
    </row>
    <row r="59" spans="1:14" x14ac:dyDescent="0.35">
      <c r="A59" s="15" t="s">
        <v>84</v>
      </c>
      <c r="B59" s="15">
        <f>SUMIF('[1]P&amp;L LocCur'!$A:$A,A59,'[1]P&amp;L LocCur'!$V:$V)</f>
        <v>0</v>
      </c>
      <c r="C59" s="15">
        <f>SUMIF('[1]P&amp;L LocCur'!$A:$A,A59,'[1]P&amp;L LocCur'!$W:$W)</f>
        <v>0</v>
      </c>
      <c r="D59" s="15">
        <f>SUMIF('[1]P&amp;L LocCur'!$A:$A,A59,'[1]P&amp;L LocCur'!$X:$X)</f>
        <v>0</v>
      </c>
      <c r="E59" s="15">
        <f>SUMIF('[1]P&amp;L LocCur'!$A:$A,A59,'[1]P&amp;L LocCur'!$Y:$Y)</f>
        <v>0</v>
      </c>
      <c r="F59" s="15">
        <f>SUMIF('[1]P&amp;L LocCur'!$A:$A,A59,'[1]P&amp;L LocCur'!$Z:$Z)</f>
        <v>0</v>
      </c>
      <c r="G59" s="15">
        <f>SUMIF('[1]P&amp;L LocCur'!$A:$A,A59,'[1]P&amp;L LocCur'!$AA:$AA)</f>
        <v>0</v>
      </c>
      <c r="I59" s="15">
        <f t="shared" si="57"/>
        <v>0</v>
      </c>
      <c r="J59" s="15">
        <f t="shared" si="58"/>
        <v>0</v>
      </c>
      <c r="K59" s="15">
        <f t="shared" si="59"/>
        <v>0</v>
      </c>
      <c r="L59" s="15">
        <f t="shared" si="60"/>
        <v>0</v>
      </c>
      <c r="M59" s="15">
        <f t="shared" si="61"/>
        <v>0</v>
      </c>
      <c r="N59" s="15">
        <f t="shared" si="62"/>
        <v>0</v>
      </c>
    </row>
    <row r="60" spans="1:14" x14ac:dyDescent="0.35">
      <c r="A60" s="15" t="s">
        <v>85</v>
      </c>
      <c r="B60" s="15">
        <f>SUMIF('[1]P&amp;L LocCur'!$A:$A,A60,'[1]P&amp;L LocCur'!$V:$V)</f>
        <v>-9.5250000000000004</v>
      </c>
      <c r="C60" s="15">
        <f>SUMIF('[1]P&amp;L LocCur'!$A:$A,A60,'[1]P&amp;L LocCur'!$W:$W)</f>
        <v>-173.4</v>
      </c>
      <c r="D60" s="15">
        <f>SUMIF('[1]P&amp;L LocCur'!$A:$A,A60,'[1]P&amp;L LocCur'!$X:$X)</f>
        <v>-405.59679999999997</v>
      </c>
      <c r="E60" s="15">
        <f>SUMIF('[1]P&amp;L LocCur'!$A:$A,A60,'[1]P&amp;L LocCur'!$Y:$Y)</f>
        <v>-164.58299999999997</v>
      </c>
      <c r="F60" s="15">
        <f>SUMIF('[1]P&amp;L LocCur'!$A:$A,A60,'[1]P&amp;L LocCur'!$Z:$Z)</f>
        <v>-141.76599999999996</v>
      </c>
      <c r="G60" s="15">
        <f>SUMIF('[1]P&amp;L LocCur'!$A:$A,A60,'[1]P&amp;L LocCur'!$AA:$AA)</f>
        <v>-151</v>
      </c>
      <c r="I60" s="15">
        <f t="shared" si="57"/>
        <v>-9.5250000000000004</v>
      </c>
      <c r="J60" s="15">
        <f t="shared" si="58"/>
        <v>-182.92500000000001</v>
      </c>
      <c r="K60" s="15">
        <f t="shared" si="59"/>
        <v>-588.52179999999998</v>
      </c>
      <c r="L60" s="15">
        <f t="shared" si="60"/>
        <v>-753.10479999999995</v>
      </c>
      <c r="M60" s="15">
        <f t="shared" si="61"/>
        <v>-894.87079999999992</v>
      </c>
      <c r="N60" s="15">
        <f t="shared" si="62"/>
        <v>-1045.8707999999999</v>
      </c>
    </row>
    <row r="61" spans="1:14" x14ac:dyDescent="0.35">
      <c r="A61" s="15" t="s">
        <v>86</v>
      </c>
      <c r="B61" s="15">
        <f>SUMIF('[1]P&amp;L LocCur'!$A:$A,A61,'[1]P&amp;L LocCur'!$V:$V)</f>
        <v>0</v>
      </c>
      <c r="C61" s="15">
        <f>SUMIF('[1]P&amp;L LocCur'!$A:$A,A61,'[1]P&amp;L LocCur'!$W:$W)</f>
        <v>0</v>
      </c>
      <c r="D61" s="15">
        <f>SUMIF('[1]P&amp;L LocCur'!$A:$A,A61,'[1]P&amp;L LocCur'!$X:$X)</f>
        <v>0</v>
      </c>
      <c r="E61" s="15">
        <f>SUMIF('[1]P&amp;L LocCur'!$A:$A,A61,'[1]P&amp;L LocCur'!$Y:$Y)</f>
        <v>0</v>
      </c>
      <c r="F61" s="15">
        <f>SUMIF('[1]P&amp;L LocCur'!$A:$A,A61,'[1]P&amp;L LocCur'!$Z:$Z)</f>
        <v>0</v>
      </c>
      <c r="G61" s="15">
        <f>SUMIF('[1]P&amp;L LocCur'!$A:$A,A61,'[1]P&amp;L LocCur'!$AA:$AA)</f>
        <v>0</v>
      </c>
      <c r="I61" s="15">
        <f t="shared" si="57"/>
        <v>0</v>
      </c>
      <c r="J61" s="15">
        <f t="shared" si="58"/>
        <v>0</v>
      </c>
      <c r="K61" s="15">
        <f t="shared" si="59"/>
        <v>0</v>
      </c>
      <c r="L61" s="15">
        <f t="shared" si="60"/>
        <v>0</v>
      </c>
      <c r="M61" s="15">
        <f t="shared" si="61"/>
        <v>0</v>
      </c>
      <c r="N61" s="15">
        <f t="shared" si="62"/>
        <v>0</v>
      </c>
    </row>
    <row r="62" spans="1:14" x14ac:dyDescent="0.35">
      <c r="A62" s="16" t="s">
        <v>87</v>
      </c>
      <c r="B62" s="15">
        <f>SUMIF('[1]P&amp;L LocCur'!$A:$A,A62,'[1]P&amp;L LocCur'!$V:$V)</f>
        <v>0</v>
      </c>
      <c r="C62" s="15">
        <f>SUMIF('[1]P&amp;L LocCur'!$A:$A,A62,'[1]P&amp;L LocCur'!$W:$W)</f>
        <v>0</v>
      </c>
      <c r="D62" s="15">
        <f>SUMIF('[1]P&amp;L LocCur'!$A:$A,A62,'[1]P&amp;L LocCur'!$X:$X)</f>
        <v>0</v>
      </c>
      <c r="E62" s="15">
        <f>SUMIF('[1]P&amp;L LocCur'!$A:$A,A62,'[1]P&amp;L LocCur'!$Y:$Y)</f>
        <v>0</v>
      </c>
      <c r="F62" s="15">
        <f>SUMIF('[1]P&amp;L LocCur'!$A:$A,A62,'[1]P&amp;L LocCur'!$Z:$Z)</f>
        <v>0</v>
      </c>
      <c r="G62" s="15">
        <f>SUMIF('[1]P&amp;L LocCur'!$A:$A,A62,'[1]P&amp;L LocCur'!$AA:$AA)</f>
        <v>0</v>
      </c>
      <c r="I62" s="15">
        <f t="shared" si="57"/>
        <v>0</v>
      </c>
      <c r="J62" s="15">
        <f t="shared" si="58"/>
        <v>0</v>
      </c>
      <c r="K62" s="15">
        <f t="shared" si="59"/>
        <v>0</v>
      </c>
      <c r="L62" s="15">
        <f t="shared" si="60"/>
        <v>0</v>
      </c>
      <c r="M62" s="15">
        <f t="shared" si="61"/>
        <v>0</v>
      </c>
      <c r="N62" s="15">
        <f t="shared" si="62"/>
        <v>0</v>
      </c>
    </row>
    <row r="63" spans="1:14" x14ac:dyDescent="0.35">
      <c r="A63" s="18" t="s">
        <v>88</v>
      </c>
      <c r="B63" s="15">
        <f>SUMIF('[1]P&amp;L LocCur'!$A:$A,A63,'[1]P&amp;L LocCur'!$V:$V)</f>
        <v>-1681.1453199999999</v>
      </c>
      <c r="C63" s="15">
        <f>SUMIF('[1]P&amp;L LocCur'!$A:$A,A63,'[1]P&amp;L LocCur'!$W:$W)</f>
        <v>-772.7317700000001</v>
      </c>
      <c r="D63" s="15">
        <f>SUMIF('[1]P&amp;L LocCur'!$A:$A,A63,'[1]P&amp;L LocCur'!$X:$X)</f>
        <v>-1133.7589699999994</v>
      </c>
      <c r="E63" s="15">
        <f>SUMIF('[1]P&amp;L LocCur'!$A:$A,A63,'[1]P&amp;L LocCur'!$Y:$Y)</f>
        <v>-606.16896999999926</v>
      </c>
      <c r="F63" s="15">
        <f>SUMIF('[1]P&amp;L LocCur'!$A:$A,A63,'[1]P&amp;L LocCur'!$Z:$Z)</f>
        <v>-120</v>
      </c>
      <c r="G63" s="15">
        <f>SUMIF('[1]P&amp;L LocCur'!$A:$A,A63,'[1]P&amp;L LocCur'!$AA:$AA)</f>
        <v>-200</v>
      </c>
      <c r="I63" s="15">
        <f t="shared" si="57"/>
        <v>-1681.1453199999999</v>
      </c>
      <c r="J63" s="15">
        <f t="shared" si="58"/>
        <v>-2453.87709</v>
      </c>
      <c r="K63" s="15">
        <f t="shared" si="59"/>
        <v>-3587.6360599999994</v>
      </c>
      <c r="L63" s="15">
        <f t="shared" si="60"/>
        <v>-4193.8050299999986</v>
      </c>
      <c r="M63" s="15">
        <f t="shared" si="61"/>
        <v>-4313.8050299999986</v>
      </c>
      <c r="N63" s="15">
        <f t="shared" si="62"/>
        <v>-4513.8050299999986</v>
      </c>
    </row>
    <row r="64" spans="1:14" x14ac:dyDescent="0.35">
      <c r="A64" s="18" t="s">
        <v>10</v>
      </c>
      <c r="B64" s="15">
        <f>SUMIF('[1]P&amp;L LocCur'!$A:$A,A64,'[1]P&amp;L LocCur'!$V:$V)</f>
        <v>0</v>
      </c>
      <c r="C64" s="15">
        <f>SUMIF('[1]P&amp;L LocCur'!$A:$A,A64,'[1]P&amp;L LocCur'!$W:$W)</f>
        <v>0</v>
      </c>
      <c r="D64" s="15">
        <f>SUMIF('[1]P&amp;L LocCur'!$A:$A,A64,'[1]P&amp;L LocCur'!$X:$X)</f>
        <v>0</v>
      </c>
      <c r="E64" s="15">
        <f>SUMIF('[1]P&amp;L LocCur'!$A:$A,A64,'[1]P&amp;L LocCur'!$Y:$Y)</f>
        <v>0</v>
      </c>
      <c r="F64" s="15">
        <f>SUMIF('[1]P&amp;L LocCur'!$A:$A,A64,'[1]P&amp;L LocCur'!$Z:$Z)</f>
        <v>0</v>
      </c>
      <c r="G64" s="15">
        <f>SUMIF('[1]P&amp;L LocCur'!$A:$A,A64,'[1]P&amp;L LocCur'!$AA:$AA)</f>
        <v>0</v>
      </c>
      <c r="I64" s="15">
        <f t="shared" si="57"/>
        <v>0</v>
      </c>
      <c r="J64" s="15">
        <f t="shared" si="58"/>
        <v>0</v>
      </c>
      <c r="K64" s="15">
        <f t="shared" si="59"/>
        <v>0</v>
      </c>
      <c r="L64" s="15">
        <f t="shared" si="60"/>
        <v>0</v>
      </c>
      <c r="M64" s="15">
        <f t="shared" si="61"/>
        <v>0</v>
      </c>
      <c r="N64" s="15">
        <f t="shared" si="62"/>
        <v>0</v>
      </c>
    </row>
    <row r="65" spans="1:14" x14ac:dyDescent="0.35">
      <c r="A65" s="18" t="s">
        <v>12</v>
      </c>
      <c r="B65" s="15">
        <f>SUMIF('[1]P&amp;L LocCur'!$A:$A,A65,'[1]P&amp;L LocCur'!$V:$V)</f>
        <v>-47.821899999999999</v>
      </c>
      <c r="C65" s="15">
        <f>SUMIF('[1]P&amp;L LocCur'!$A:$A,A65,'[1]P&amp;L LocCur'!$W:$W)</f>
        <v>-16.877479999999991</v>
      </c>
      <c r="D65" s="15">
        <f>SUMIF('[1]P&amp;L LocCur'!$A:$A,A65,'[1]P&amp;L LocCur'!$X:$X)</f>
        <v>-27.475729999999999</v>
      </c>
      <c r="E65" s="15">
        <f>SUMIF('[1]P&amp;L LocCur'!$A:$A,A65,'[1]P&amp;L LocCur'!$Y:$Y)</f>
        <v>-31.2727</v>
      </c>
      <c r="F65" s="15">
        <f>SUMIF('[1]P&amp;L LocCur'!$A:$A,A65,'[1]P&amp;L LocCur'!$Z:$Z)</f>
        <v>0</v>
      </c>
      <c r="G65" s="15">
        <f>SUMIF('[1]P&amp;L LocCur'!$A:$A,A65,'[1]P&amp;L LocCur'!$AA:$AA)</f>
        <v>-80.282830000000004</v>
      </c>
      <c r="I65" s="15">
        <f t="shared" si="57"/>
        <v>-47.821899999999999</v>
      </c>
      <c r="J65" s="15">
        <f t="shared" si="58"/>
        <v>-64.699379999999991</v>
      </c>
      <c r="K65" s="15">
        <f t="shared" si="59"/>
        <v>-92.175109999999989</v>
      </c>
      <c r="L65" s="15">
        <f t="shared" si="60"/>
        <v>-123.44780999999999</v>
      </c>
      <c r="M65" s="15">
        <f t="shared" si="61"/>
        <v>-123.44780999999999</v>
      </c>
      <c r="N65" s="15">
        <f t="shared" si="62"/>
        <v>-203.73063999999999</v>
      </c>
    </row>
    <row r="66" spans="1:14" x14ac:dyDescent="0.35">
      <c r="A66" s="15" t="s">
        <v>89</v>
      </c>
      <c r="B66" s="15">
        <f>SUMIF('[1]P&amp;L LocCur'!$A:$A,A66,'[1]P&amp;L LocCur'!$V:$V)</f>
        <v>-1580.2249999999999</v>
      </c>
      <c r="C66" s="15">
        <f>SUMIF('[1]P&amp;L LocCur'!$A:$A,A66,'[1]P&amp;L LocCur'!$W:$W)</f>
        <v>-1580.2249999999999</v>
      </c>
      <c r="D66" s="15">
        <f>SUMIF('[1]P&amp;L LocCur'!$A:$A,A66,'[1]P&amp;L LocCur'!$X:$X)</f>
        <v>-1640.2249999999995</v>
      </c>
      <c r="E66" s="15">
        <f>SUMIF('[1]P&amp;L LocCur'!$A:$A,A66,'[1]P&amp;L LocCur'!$Y:$Y)</f>
        <v>-1580.1999999999998</v>
      </c>
      <c r="F66" s="15">
        <f>SUMIF('[1]P&amp;L LocCur'!$A:$A,A66,'[1]P&amp;L LocCur'!$Z:$Z)</f>
        <v>-1596.0500000000002</v>
      </c>
      <c r="G66" s="15">
        <f>SUMIF('[1]P&amp;L LocCur'!$A:$A,A66,'[1]P&amp;L LocCur'!$AA:$AA)</f>
        <v>-1475.8250000000007</v>
      </c>
      <c r="I66" s="15">
        <f t="shared" si="57"/>
        <v>-1580.2249999999999</v>
      </c>
      <c r="J66" s="15">
        <f t="shared" si="58"/>
        <v>-3160.45</v>
      </c>
      <c r="K66" s="15">
        <f t="shared" si="59"/>
        <v>-4800.6749999999993</v>
      </c>
      <c r="L66" s="15">
        <f t="shared" si="60"/>
        <v>-6380.8749999999991</v>
      </c>
      <c r="M66" s="15">
        <f t="shared" si="61"/>
        <v>-7976.9249999999993</v>
      </c>
      <c r="N66" s="15">
        <f t="shared" si="62"/>
        <v>-9452.75</v>
      </c>
    </row>
    <row r="67" spans="1:14" x14ac:dyDescent="0.35">
      <c r="A67" s="15" t="s">
        <v>90</v>
      </c>
      <c r="B67" s="15">
        <f>SUMIF('[1]P&amp;L LocCur'!$A:$A,A67,'[1]P&amp;L LocCur'!$V:$V)</f>
        <v>-124.93483999999999</v>
      </c>
      <c r="C67" s="15">
        <f>SUMIF('[1]P&amp;L LocCur'!$A:$A,A67,'[1]P&amp;L LocCur'!$W:$W)</f>
        <v>-528.01961000000006</v>
      </c>
      <c r="D67" s="15">
        <f>SUMIF('[1]P&amp;L LocCur'!$A:$A,A67,'[1]P&amp;L LocCur'!$X:$X)</f>
        <v>-222.35329999999988</v>
      </c>
      <c r="E67" s="15">
        <f>SUMIF('[1]P&amp;L LocCur'!$A:$A,A67,'[1]P&amp;L LocCur'!$Y:$Y)</f>
        <v>-280.48389999999995</v>
      </c>
      <c r="F67" s="15">
        <f>SUMIF('[1]P&amp;L LocCur'!$A:$A,A67,'[1]P&amp;L LocCur'!$Z:$Z)</f>
        <v>-322.28629999999998</v>
      </c>
      <c r="G67" s="15">
        <f>SUMIF('[1]P&amp;L LocCur'!$A:$A,A67,'[1]P&amp;L LocCur'!$AA:$AA)</f>
        <v>-118.07750999999985</v>
      </c>
      <c r="I67" s="15">
        <f t="shared" si="57"/>
        <v>-124.93483999999999</v>
      </c>
      <c r="J67" s="15">
        <f t="shared" si="58"/>
        <v>-652.95445000000007</v>
      </c>
      <c r="K67" s="15">
        <f t="shared" si="59"/>
        <v>-875.30774999999994</v>
      </c>
      <c r="L67" s="15">
        <f t="shared" si="60"/>
        <v>-1155.7916499999999</v>
      </c>
      <c r="M67" s="15">
        <f t="shared" si="61"/>
        <v>-1478.0779499999999</v>
      </c>
      <c r="N67" s="15">
        <f t="shared" si="62"/>
        <v>-1596.1554599999997</v>
      </c>
    </row>
    <row r="68" spans="1:14" x14ac:dyDescent="0.35">
      <c r="A68" s="15" t="s">
        <v>106</v>
      </c>
      <c r="B68" s="15">
        <f>SUMIF('[1]P&amp;L LocCur'!$A:$A,A68,'[1]P&amp;L LocCur'!$V:$V)</f>
        <v>-2257.31387</v>
      </c>
      <c r="C68" s="15">
        <f>SUMIF('[1]P&amp;L LocCur'!$A:$A,A68,'[1]P&amp;L LocCur'!$W:$W)</f>
        <v>-1809.6082800000004</v>
      </c>
      <c r="D68" s="15">
        <f>SUMIF('[1]P&amp;L LocCur'!$A:$A,A68,'[1]P&amp;L LocCur'!$X:$X)</f>
        <v>-1892.2954500000001</v>
      </c>
      <c r="E68" s="15">
        <f>SUMIF('[1]P&amp;L LocCur'!$A:$A,A68,'[1]P&amp;L LocCur'!$Y:$Y)</f>
        <v>-1941.9669999999996</v>
      </c>
      <c r="F68" s="15">
        <f>SUMIF('[1]P&amp;L LocCur'!$A:$A,A68,'[1]P&amp;L LocCur'!$Z:$Z)</f>
        <v>-2187.2400000000002</v>
      </c>
      <c r="G68" s="15">
        <f>SUMIF('[1]P&amp;L LocCur'!$A:$A,A68,'[1]P&amp;L LocCur'!$AA:$AA)</f>
        <v>-2369.0189099999998</v>
      </c>
      <c r="I68" s="15">
        <f t="shared" si="57"/>
        <v>-2257.31387</v>
      </c>
      <c r="J68" s="15">
        <f t="shared" si="58"/>
        <v>-4066.9221500000003</v>
      </c>
      <c r="K68" s="15">
        <f t="shared" si="59"/>
        <v>-5959.2175999999999</v>
      </c>
      <c r="L68" s="15">
        <f t="shared" si="60"/>
        <v>-7901.1845999999996</v>
      </c>
      <c r="M68" s="15">
        <f t="shared" si="61"/>
        <v>-10088.4246</v>
      </c>
      <c r="N68" s="15">
        <f t="shared" si="62"/>
        <v>-12457.443510000001</v>
      </c>
    </row>
    <row r="69" spans="1:14" x14ac:dyDescent="0.35">
      <c r="A69" s="15" t="s">
        <v>91</v>
      </c>
      <c r="B69" s="15">
        <f>SUMIF('[1]P&amp;L LocCur'!$A:$A,A69,'[1]P&amp;L LocCur'!$V:$V)</f>
        <v>-200.12378000000001</v>
      </c>
      <c r="C69" s="15">
        <f>SUMIF('[1]P&amp;L LocCur'!$A:$A,A69,'[1]P&amp;L LocCur'!$W:$W)</f>
        <v>-25.259000000000015</v>
      </c>
      <c r="D69" s="15">
        <f>SUMIF('[1]P&amp;L LocCur'!$A:$A,A69,'[1]P&amp;L LocCur'!$X:$X)</f>
        <v>-628.59900000000005</v>
      </c>
      <c r="E69" s="15">
        <f>SUMIF('[1]P&amp;L LocCur'!$A:$A,A69,'[1]P&amp;L LocCur'!$Y:$Y)</f>
        <v>-250</v>
      </c>
      <c r="F69" s="15">
        <f>SUMIF('[1]P&amp;L LocCur'!$A:$A,A69,'[1]P&amp;L LocCur'!$Z:$Z)</f>
        <v>-109.82078000000001</v>
      </c>
      <c r="G69" s="15">
        <f>SUMIF('[1]P&amp;L LocCur'!$A:$A,A69,'[1]P&amp;L LocCur'!$AA:$AA)</f>
        <v>-233.99099999999999</v>
      </c>
      <c r="I69" s="15">
        <f t="shared" si="57"/>
        <v>-200.12378000000001</v>
      </c>
      <c r="J69" s="15">
        <f t="shared" si="58"/>
        <v>-225.38278000000003</v>
      </c>
      <c r="K69" s="15">
        <f t="shared" si="59"/>
        <v>-853.98178000000007</v>
      </c>
      <c r="L69" s="15">
        <f t="shared" si="60"/>
        <v>-1103.9817800000001</v>
      </c>
      <c r="M69" s="15">
        <f t="shared" si="61"/>
        <v>-1213.8025600000001</v>
      </c>
      <c r="N69" s="15">
        <f t="shared" si="62"/>
        <v>-1447.7935600000001</v>
      </c>
    </row>
    <row r="70" spans="1:14" x14ac:dyDescent="0.35">
      <c r="A70" s="15" t="s">
        <v>92</v>
      </c>
      <c r="B70" s="15">
        <f>SUMIF('[1]P&amp;L LocCur'!$A:$A,A70,'[1]P&amp;L LocCur'!$V:$V)</f>
        <v>0</v>
      </c>
      <c r="C70" s="15">
        <f>SUMIF('[1]P&amp;L LocCur'!$A:$A,A70,'[1]P&amp;L LocCur'!$W:$W)</f>
        <v>0</v>
      </c>
      <c r="D70" s="15">
        <f>SUMIF('[1]P&amp;L LocCur'!$A:$A,A70,'[1]P&amp;L LocCur'!$X:$X)</f>
        <v>0</v>
      </c>
      <c r="E70" s="15">
        <f>SUMIF('[1]P&amp;L LocCur'!$A:$A,A70,'[1]P&amp;L LocCur'!$Y:$Y)</f>
        <v>0</v>
      </c>
      <c r="F70" s="15">
        <f>SUMIF('[1]P&amp;L LocCur'!$A:$A,A70,'[1]P&amp;L LocCur'!$Z:$Z)</f>
        <v>0</v>
      </c>
      <c r="G70" s="15">
        <f>SUMIF('[1]P&amp;L LocCur'!$A:$A,A70,'[1]P&amp;L LocCur'!$AA:$AA)</f>
        <v>0</v>
      </c>
      <c r="I70" s="15">
        <f t="shared" si="57"/>
        <v>0</v>
      </c>
      <c r="J70" s="15">
        <f t="shared" si="58"/>
        <v>0</v>
      </c>
      <c r="K70" s="15">
        <f t="shared" si="59"/>
        <v>0</v>
      </c>
      <c r="L70" s="15">
        <f t="shared" si="60"/>
        <v>0</v>
      </c>
      <c r="M70" s="15">
        <f t="shared" si="61"/>
        <v>0</v>
      </c>
      <c r="N70" s="15">
        <f t="shared" si="62"/>
        <v>0</v>
      </c>
    </row>
    <row r="71" spans="1:14" x14ac:dyDescent="0.35">
      <c r="A71" s="15" t="s">
        <v>93</v>
      </c>
      <c r="B71" s="15">
        <f>SUMIF('[1]P&amp;L LocCur'!$A:$A,A71,'[1]P&amp;L LocCur'!$V:$V)</f>
        <v>-107.77766</v>
      </c>
      <c r="C71" s="15">
        <f>SUMIF('[1]P&amp;L LocCur'!$A:$A,A71,'[1]P&amp;L LocCur'!$W:$W)</f>
        <v>-31.616000000000014</v>
      </c>
      <c r="D71" s="15">
        <f>SUMIF('[1]P&amp;L LocCur'!$A:$A,A71,'[1]P&amp;L LocCur'!$X:$X)</f>
        <v>-30.375519999999995</v>
      </c>
      <c r="E71" s="15">
        <f>SUMIF('[1]P&amp;L LocCur'!$A:$A,A71,'[1]P&amp;L LocCur'!$Y:$Y)</f>
        <v>-119.93099999999998</v>
      </c>
      <c r="F71" s="15">
        <f>SUMIF('[1]P&amp;L LocCur'!$A:$A,A71,'[1]P&amp;L LocCur'!$Z:$Z)</f>
        <v>-44.658219999999972</v>
      </c>
      <c r="G71" s="15">
        <f>SUMIF('[1]P&amp;L LocCur'!$A:$A,A71,'[1]P&amp;L LocCur'!$AA:$AA)</f>
        <v>-65.885820000000024</v>
      </c>
      <c r="I71" s="15">
        <f t="shared" si="57"/>
        <v>-107.77766</v>
      </c>
      <c r="J71" s="15">
        <f t="shared" si="58"/>
        <v>-139.39366000000001</v>
      </c>
      <c r="K71" s="15">
        <f t="shared" si="59"/>
        <v>-169.76918000000001</v>
      </c>
      <c r="L71" s="15">
        <f t="shared" si="60"/>
        <v>-289.70017999999999</v>
      </c>
      <c r="M71" s="15">
        <f t="shared" si="61"/>
        <v>-334.35839999999996</v>
      </c>
      <c r="N71" s="15">
        <f t="shared" si="62"/>
        <v>-400.24421999999998</v>
      </c>
    </row>
    <row r="72" spans="1:14" x14ac:dyDescent="0.35">
      <c r="A72" s="15" t="s">
        <v>94</v>
      </c>
      <c r="B72" s="15">
        <f>SUMIF('[1]P&amp;L LocCur'!$A:$A,A72,'[1]P&amp;L LocCur'!$V:$V)</f>
        <v>0</v>
      </c>
      <c r="C72" s="15">
        <f>SUMIF('[1]P&amp;L LocCur'!$A:$A,A72,'[1]P&amp;L LocCur'!$W:$W)</f>
        <v>0</v>
      </c>
      <c r="D72" s="15">
        <f>SUMIF('[1]P&amp;L LocCur'!$A:$A,A72,'[1]P&amp;L LocCur'!$X:$X)</f>
        <v>0</v>
      </c>
      <c r="E72" s="15">
        <f>SUMIF('[1]P&amp;L LocCur'!$A:$A,A72,'[1]P&amp;L LocCur'!$Y:$Y)</f>
        <v>0</v>
      </c>
      <c r="F72" s="15">
        <f>SUMIF('[1]P&amp;L LocCur'!$A:$A,A72,'[1]P&amp;L LocCur'!$Z:$Z)</f>
        <v>0</v>
      </c>
      <c r="G72" s="15">
        <f>SUMIF('[1]P&amp;L LocCur'!$A:$A,A72,'[1]P&amp;L LocCur'!$AA:$AA)</f>
        <v>0</v>
      </c>
      <c r="I72" s="15">
        <f t="shared" si="57"/>
        <v>0</v>
      </c>
      <c r="J72" s="15">
        <f t="shared" si="58"/>
        <v>0</v>
      </c>
      <c r="K72" s="15">
        <f t="shared" si="59"/>
        <v>0</v>
      </c>
      <c r="L72" s="15">
        <f t="shared" si="60"/>
        <v>0</v>
      </c>
      <c r="M72" s="15">
        <f t="shared" si="61"/>
        <v>0</v>
      </c>
      <c r="N72" s="15">
        <f t="shared" si="62"/>
        <v>0</v>
      </c>
    </row>
    <row r="73" spans="1:14" x14ac:dyDescent="0.35">
      <c r="A73" s="15" t="s">
        <v>95</v>
      </c>
      <c r="B73" s="15">
        <f>SUMIF('[1]P&amp;L LocCur'!$A:$A,A73,'[1]P&amp;L LocCur'!$V:$V)</f>
        <v>0</v>
      </c>
      <c r="C73" s="15">
        <f>SUMIF('[1]P&amp;L LocCur'!$A:$A,A73,'[1]P&amp;L LocCur'!$W:$W)</f>
        <v>0</v>
      </c>
      <c r="D73" s="15">
        <f>SUMIF('[1]P&amp;L LocCur'!$A:$A,A73,'[1]P&amp;L LocCur'!$X:$X)</f>
        <v>0</v>
      </c>
      <c r="E73" s="15">
        <f>SUMIF('[1]P&amp;L LocCur'!$A:$A,A73,'[1]P&amp;L LocCur'!$Y:$Y)</f>
        <v>0</v>
      </c>
      <c r="F73" s="15">
        <f>SUMIF('[1]P&amp;L LocCur'!$A:$A,A73,'[1]P&amp;L LocCur'!$Z:$Z)</f>
        <v>0</v>
      </c>
      <c r="G73" s="15">
        <f>SUMIF('[1]P&amp;L LocCur'!$A:$A,A73,'[1]P&amp;L LocCur'!$AA:$AA)</f>
        <v>0</v>
      </c>
      <c r="I73" s="15">
        <f t="shared" si="57"/>
        <v>0</v>
      </c>
      <c r="J73" s="15">
        <f t="shared" si="58"/>
        <v>0</v>
      </c>
      <c r="K73" s="15">
        <f t="shared" si="59"/>
        <v>0</v>
      </c>
      <c r="L73" s="15">
        <f t="shared" si="60"/>
        <v>0</v>
      </c>
      <c r="M73" s="15">
        <f t="shared" si="61"/>
        <v>0</v>
      </c>
      <c r="N73" s="15">
        <f t="shared" si="62"/>
        <v>0</v>
      </c>
    </row>
    <row r="74" spans="1:14" x14ac:dyDescent="0.35">
      <c r="A74" s="15" t="s">
        <v>96</v>
      </c>
      <c r="B74" s="15">
        <f>SUMIF('[1]P&amp;L LocCur'!$A:$A,A74,'[1]P&amp;L LocCur'!$V:$V)</f>
        <v>0</v>
      </c>
      <c r="C74" s="15">
        <f>SUMIF('[1]P&amp;L LocCur'!$A:$A,A74,'[1]P&amp;L LocCur'!$W:$W)</f>
        <v>0</v>
      </c>
      <c r="D74" s="15">
        <f>SUMIF('[1]P&amp;L LocCur'!$A:$A,A74,'[1]P&amp;L LocCur'!$X:$X)</f>
        <v>0</v>
      </c>
      <c r="E74" s="15">
        <f>SUMIF('[1]P&amp;L LocCur'!$A:$A,A74,'[1]P&amp;L LocCur'!$Y:$Y)</f>
        <v>0</v>
      </c>
      <c r="F74" s="15">
        <f>SUMIF('[1]P&amp;L LocCur'!$A:$A,A74,'[1]P&amp;L LocCur'!$Z:$Z)</f>
        <v>0</v>
      </c>
      <c r="G74" s="15">
        <f>SUMIF('[1]P&amp;L LocCur'!$A:$A,A74,'[1]P&amp;L LocCur'!$AA:$AA)</f>
        <v>0</v>
      </c>
      <c r="I74" s="15">
        <f t="shared" si="57"/>
        <v>0</v>
      </c>
      <c r="J74" s="15">
        <f t="shared" si="58"/>
        <v>0</v>
      </c>
      <c r="K74" s="15">
        <f t="shared" si="59"/>
        <v>0</v>
      </c>
      <c r="L74" s="15">
        <f t="shared" si="60"/>
        <v>0</v>
      </c>
      <c r="M74" s="15">
        <f t="shared" si="61"/>
        <v>0</v>
      </c>
      <c r="N74" s="15">
        <f t="shared" si="62"/>
        <v>0</v>
      </c>
    </row>
    <row r="75" spans="1:14" x14ac:dyDescent="0.35">
      <c r="A75" s="15" t="s">
        <v>97</v>
      </c>
      <c r="B75" s="15">
        <f>SUMIF('[1]P&amp;L LocCur'!$A:$A,A75,'[1]P&amp;L LocCur'!$V:$V)</f>
        <v>0</v>
      </c>
      <c r="C75" s="15">
        <f>SUMIF('[1]P&amp;L LocCur'!$A:$A,A75,'[1]P&amp;L LocCur'!$W:$W)</f>
        <v>0</v>
      </c>
      <c r="D75" s="15">
        <f>SUMIF('[1]P&amp;L LocCur'!$A:$A,A75,'[1]P&amp;L LocCur'!$X:$X)</f>
        <v>0</v>
      </c>
      <c r="E75" s="15">
        <f>SUMIF('[1]P&amp;L LocCur'!$A:$A,A75,'[1]P&amp;L LocCur'!$Y:$Y)</f>
        <v>0</v>
      </c>
      <c r="F75" s="15">
        <f>SUMIF('[1]P&amp;L LocCur'!$A:$A,A75,'[1]P&amp;L LocCur'!$Z:$Z)</f>
        <v>0</v>
      </c>
      <c r="G75" s="15">
        <f>SUMIF('[1]P&amp;L LocCur'!$A:$A,A75,'[1]P&amp;L LocCur'!$AA:$AA)</f>
        <v>0</v>
      </c>
      <c r="I75" s="15">
        <f t="shared" si="57"/>
        <v>0</v>
      </c>
      <c r="J75" s="15">
        <f t="shared" si="58"/>
        <v>0</v>
      </c>
      <c r="K75" s="15">
        <f t="shared" si="59"/>
        <v>0</v>
      </c>
      <c r="L75" s="15">
        <f t="shared" si="60"/>
        <v>0</v>
      </c>
      <c r="M75" s="15">
        <f t="shared" si="61"/>
        <v>0</v>
      </c>
      <c r="N75" s="15">
        <f t="shared" si="62"/>
        <v>0</v>
      </c>
    </row>
    <row r="76" spans="1:14" x14ac:dyDescent="0.35">
      <c r="A76" s="15" t="s">
        <v>98</v>
      </c>
      <c r="B76" s="15">
        <f>SUMIF('[1]P&amp;L LocCur'!$A:$A,A76,'[1]P&amp;L LocCur'!$V:$V)</f>
        <v>0</v>
      </c>
      <c r="C76" s="15">
        <f>SUMIF('[1]P&amp;L LocCur'!$A:$A,A76,'[1]P&amp;L LocCur'!$W:$W)</f>
        <v>0</v>
      </c>
      <c r="D76" s="15">
        <f>SUMIF('[1]P&amp;L LocCur'!$A:$A,A76,'[1]P&amp;L LocCur'!$X:$X)</f>
        <v>0</v>
      </c>
      <c r="E76" s="15">
        <f>SUMIF('[1]P&amp;L LocCur'!$A:$A,A76,'[1]P&amp;L LocCur'!$Y:$Y)</f>
        <v>0</v>
      </c>
      <c r="F76" s="15">
        <f>SUMIF('[1]P&amp;L LocCur'!$A:$A,A76,'[1]P&amp;L LocCur'!$Z:$Z)</f>
        <v>0</v>
      </c>
      <c r="G76" s="15">
        <f>SUMIF('[1]P&amp;L LocCur'!$A:$A,A76,'[1]P&amp;L LocCur'!$AA:$AA)</f>
        <v>0</v>
      </c>
      <c r="I76" s="15">
        <f t="shared" si="57"/>
        <v>0</v>
      </c>
      <c r="J76" s="15">
        <f t="shared" si="58"/>
        <v>0</v>
      </c>
      <c r="K76" s="15">
        <f t="shared" si="59"/>
        <v>0</v>
      </c>
      <c r="L76" s="15">
        <f t="shared" si="60"/>
        <v>0</v>
      </c>
      <c r="M76" s="15">
        <f t="shared" si="61"/>
        <v>0</v>
      </c>
      <c r="N76" s="15">
        <f t="shared" si="62"/>
        <v>0</v>
      </c>
    </row>
    <row r="77" spans="1:14" x14ac:dyDescent="0.35">
      <c r="A77" s="15" t="s">
        <v>99</v>
      </c>
      <c r="B77" s="15">
        <f>SUMIF('[1]P&amp;L LocCur'!$A:$A,A77,'[1]P&amp;L LocCur'!$V:$V)</f>
        <v>0</v>
      </c>
      <c r="C77" s="15">
        <f>SUMIF('[1]P&amp;L LocCur'!$A:$A,A77,'[1]P&amp;L LocCur'!$W:$W)</f>
        <v>0</v>
      </c>
      <c r="D77" s="15">
        <f>SUMIF('[1]P&amp;L LocCur'!$A:$A,A77,'[1]P&amp;L LocCur'!$X:$X)</f>
        <v>0</v>
      </c>
      <c r="E77" s="15">
        <f>SUMIF('[1]P&amp;L LocCur'!$A:$A,A77,'[1]P&amp;L LocCur'!$Y:$Y)</f>
        <v>0</v>
      </c>
      <c r="F77" s="15">
        <f>SUMIF('[1]P&amp;L LocCur'!$A:$A,A77,'[1]P&amp;L LocCur'!$Z:$Z)</f>
        <v>0</v>
      </c>
      <c r="G77" s="15">
        <f>SUMIF('[1]P&amp;L LocCur'!$A:$A,A77,'[1]P&amp;L LocCur'!$AA:$AA)</f>
        <v>0</v>
      </c>
      <c r="I77" s="15">
        <f t="shared" si="57"/>
        <v>0</v>
      </c>
      <c r="J77" s="15">
        <f t="shared" si="58"/>
        <v>0</v>
      </c>
      <c r="K77" s="15">
        <f t="shared" si="59"/>
        <v>0</v>
      </c>
      <c r="L77" s="15">
        <f t="shared" si="60"/>
        <v>0</v>
      </c>
      <c r="M77" s="15">
        <f t="shared" si="61"/>
        <v>0</v>
      </c>
      <c r="N77" s="15">
        <f t="shared" si="62"/>
        <v>0</v>
      </c>
    </row>
    <row r="78" spans="1:14" x14ac:dyDescent="0.35">
      <c r="A78" s="15" t="s">
        <v>100</v>
      </c>
      <c r="B78" s="15">
        <f>SUMIF('[1]P&amp;L LocCur'!$A:$A,A78,'[1]P&amp;L LocCur'!$V:$V)</f>
        <v>-468.97568000000007</v>
      </c>
      <c r="C78" s="15">
        <f>SUMIF('[1]P&amp;L LocCur'!$A:$A,A78,'[1]P&amp;L LocCur'!$W:$W)</f>
        <v>-1327.22246</v>
      </c>
      <c r="D78" s="15">
        <f>SUMIF('[1]P&amp;L LocCur'!$A:$A,A78,'[1]P&amp;L LocCur'!$X:$X)</f>
        <v>-2884.016959999999</v>
      </c>
      <c r="E78" s="15">
        <f>SUMIF('[1]P&amp;L LocCur'!$A:$A,A78,'[1]P&amp;L LocCur'!$Y:$Y)</f>
        <v>-2879.6437599999995</v>
      </c>
      <c r="F78" s="15">
        <f>SUMIF('[1]P&amp;L LocCur'!$A:$A,A78,'[1]P&amp;L LocCur'!$Z:$Z)</f>
        <v>-3256.1113699999996</v>
      </c>
      <c r="G78" s="15">
        <f>SUMIF('[1]P&amp;L LocCur'!$A:$A,A78,'[1]P&amp;L LocCur'!$AA:$AA)</f>
        <v>-1588.6865499999999</v>
      </c>
      <c r="I78" s="15">
        <f t="shared" si="57"/>
        <v>-468.97568000000007</v>
      </c>
      <c r="J78" s="15">
        <f t="shared" si="58"/>
        <v>-1796.19814</v>
      </c>
      <c r="K78" s="15">
        <f t="shared" si="59"/>
        <v>-4680.2150999999994</v>
      </c>
      <c r="L78" s="15">
        <f t="shared" si="60"/>
        <v>-7559.8588599999985</v>
      </c>
      <c r="M78" s="15">
        <f t="shared" si="61"/>
        <v>-10815.970229999999</v>
      </c>
      <c r="N78" s="15">
        <f t="shared" si="62"/>
        <v>-12404.656779999999</v>
      </c>
    </row>
    <row r="79" spans="1:14" x14ac:dyDescent="0.35">
      <c r="A79" s="17" t="s">
        <v>61</v>
      </c>
      <c r="B79" s="17">
        <f>SUM(B54:B78)</f>
        <v>-11389.641819999999</v>
      </c>
      <c r="C79" s="17">
        <f t="shared" ref="C79:G79" si="63">SUM(C54:C78)</f>
        <v>-10083.02392</v>
      </c>
      <c r="D79" s="17">
        <f t="shared" si="63"/>
        <v>-14158.48799</v>
      </c>
      <c r="E79" s="17">
        <f t="shared" si="63"/>
        <v>-11855.779399999998</v>
      </c>
      <c r="F79" s="17">
        <f t="shared" si="63"/>
        <v>-12055.600399999999</v>
      </c>
      <c r="G79" s="17">
        <f t="shared" si="63"/>
        <v>-12265.81804</v>
      </c>
      <c r="I79" s="17">
        <f>SUM(I54:I78)</f>
        <v>-11389.641819999999</v>
      </c>
      <c r="J79" s="17">
        <f t="shared" ref="J79:N79" si="64">SUM(J54:J78)</f>
        <v>-21472.66574</v>
      </c>
      <c r="K79" s="17">
        <f t="shared" si="64"/>
        <v>-35631.153729999998</v>
      </c>
      <c r="L79" s="17">
        <f t="shared" si="64"/>
        <v>-47486.933129999998</v>
      </c>
      <c r="M79" s="17">
        <f t="shared" si="64"/>
        <v>-59542.533529999993</v>
      </c>
      <c r="N79" s="17">
        <f t="shared" si="64"/>
        <v>-71808.351569999999</v>
      </c>
    </row>
    <row r="81" spans="1:14" x14ac:dyDescent="0.35">
      <c r="A81" s="46" t="s">
        <v>112</v>
      </c>
      <c r="B81" s="46"/>
      <c r="C81" s="46"/>
      <c r="D81" s="46"/>
      <c r="E81" s="46"/>
      <c r="F81" s="46"/>
      <c r="G81" s="46"/>
      <c r="I81" s="46"/>
      <c r="J81" s="46"/>
      <c r="K81" s="46"/>
      <c r="L81" s="46"/>
      <c r="M81" s="46"/>
      <c r="N81" s="46"/>
    </row>
    <row r="82" spans="1:14" x14ac:dyDescent="0.35">
      <c r="A82" s="16" t="s">
        <v>51</v>
      </c>
      <c r="B82" s="16"/>
      <c r="C82" s="16"/>
      <c r="D82" s="16"/>
      <c r="E82" s="16"/>
      <c r="F82" s="16"/>
      <c r="G82" s="16"/>
      <c r="I82" s="16"/>
      <c r="J82" s="16"/>
      <c r="K82" s="16"/>
      <c r="L82" s="16"/>
      <c r="M82" s="16"/>
      <c r="N82" s="16"/>
    </row>
    <row r="83" spans="1:14" x14ac:dyDescent="0.35">
      <c r="A83" s="15" t="s">
        <v>110</v>
      </c>
      <c r="B83" s="15">
        <f>SUMIF('[1]P&amp;L LocCur'!$A:$A,A83,'[1]P&amp;L LocCur'!$V:$V)</f>
        <v>-4690.7601517531157</v>
      </c>
      <c r="C83" s="15">
        <f>SUMIF('[1]P&amp;L LocCur'!$A:$A,A83,'[1]P&amp;L LocCur'!$W:$W)</f>
        <v>-1805.3967210265364</v>
      </c>
      <c r="D83" s="15">
        <f>SUMIF('[1]P&amp;L LocCur'!$A:$A,A83,'[1]P&amp;L LocCur'!$X:$X)</f>
        <v>-1646.7086220452748</v>
      </c>
      <c r="E83" s="15">
        <f>SUMIF('[1]P&amp;L LocCur'!$A:$A,A83,'[1]P&amp;L LocCur'!$Y:$Y)</f>
        <v>-1405.3944410427512</v>
      </c>
      <c r="F83" s="15">
        <f>SUMIF('[1]P&amp;L LocCur'!$A:$A,A83,'[1]P&amp;L LocCur'!$Z:$Z)</f>
        <v>-190.54658213668154</v>
      </c>
      <c r="G83" s="15">
        <f>SUMIF('[1]P&amp;L LocCur'!$A:$A,A83,'[1]P&amp;L LocCur'!$AA:$AA)</f>
        <v>-1967.0085903139952</v>
      </c>
      <c r="I83" s="15">
        <f t="shared" ref="I83" si="65">B83</f>
        <v>-4690.7601517531157</v>
      </c>
      <c r="J83" s="15">
        <f t="shared" ref="J83" si="66">I83+C83</f>
        <v>-6496.1568727796521</v>
      </c>
      <c r="K83" s="15">
        <f t="shared" ref="K83" si="67">J83+D83</f>
        <v>-8142.8654948249268</v>
      </c>
      <c r="L83" s="15">
        <f t="shared" ref="L83" si="68">K83+E83</f>
        <v>-9548.259935867678</v>
      </c>
      <c r="M83" s="15">
        <f t="shared" ref="M83" si="69">L83+F83</f>
        <v>-9738.8065180043595</v>
      </c>
      <c r="N83" s="15">
        <f t="shared" ref="N83" si="70">M83+G83</f>
        <v>-11705.815108318355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42DA1-7896-4420-896A-5F969A9E39CF}">
  <dimension ref="A1"/>
  <sheetViews>
    <sheetView workbookViewId="0">
      <selection activeCell="M11" sqref="M11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75B3E-50AA-4E58-A129-94B1C09C322D}">
  <dimension ref="A1:CE139"/>
  <sheetViews>
    <sheetView topLeftCell="A19" workbookViewId="0">
      <selection activeCell="A32" sqref="A32"/>
    </sheetView>
  </sheetViews>
  <sheetFormatPr defaultRowHeight="14.5" outlineLevelRow="1" x14ac:dyDescent="0.35"/>
  <cols>
    <col min="1" max="1" width="38.7265625" customWidth="1"/>
    <col min="2" max="2" width="14.90625" style="32" bestFit="1" customWidth="1"/>
    <col min="3" max="14" width="8.7265625" style="34"/>
  </cols>
  <sheetData>
    <row r="1" spans="1:83" x14ac:dyDescent="0.35">
      <c r="A1" s="43" t="s">
        <v>105</v>
      </c>
      <c r="B1" s="43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  <c r="BU1" s="34"/>
      <c r="BV1" s="34"/>
      <c r="BW1" s="34"/>
      <c r="BX1" s="34"/>
      <c r="BY1" s="34"/>
      <c r="BZ1" s="34"/>
      <c r="CA1" s="34"/>
      <c r="CB1" s="34"/>
      <c r="CC1" s="34"/>
      <c r="CD1" s="34"/>
      <c r="CE1" s="34"/>
    </row>
    <row r="2" spans="1:83" x14ac:dyDescent="0.35">
      <c r="A2" s="9" t="s">
        <v>32</v>
      </c>
      <c r="B2" s="23" t="s">
        <v>53</v>
      </c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  <c r="CB2" s="34"/>
      <c r="CC2" s="34"/>
      <c r="CD2" s="34"/>
      <c r="CE2" s="34"/>
    </row>
    <row r="3" spans="1:83" x14ac:dyDescent="0.35">
      <c r="A3" s="2" t="s">
        <v>21</v>
      </c>
      <c r="B3" s="24">
        <v>200000</v>
      </c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4"/>
      <c r="CB3" s="34"/>
      <c r="CC3" s="34"/>
      <c r="CD3" s="34"/>
      <c r="CE3" s="34"/>
    </row>
    <row r="4" spans="1:83" x14ac:dyDescent="0.35">
      <c r="A4" s="3" t="s">
        <v>22</v>
      </c>
      <c r="B4" s="25">
        <v>500000</v>
      </c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4"/>
      <c r="CD4" s="34"/>
      <c r="CE4" s="34"/>
    </row>
    <row r="5" spans="1:83" x14ac:dyDescent="0.35">
      <c r="A5" s="7" t="s">
        <v>30</v>
      </c>
      <c r="B5" s="26">
        <f>SUM(B6:B9)</f>
        <v>400000</v>
      </c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</row>
    <row r="6" spans="1:83" outlineLevel="1" x14ac:dyDescent="0.35">
      <c r="A6" s="6" t="s">
        <v>23</v>
      </c>
      <c r="B6" s="24">
        <v>200000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</row>
    <row r="7" spans="1:83" outlineLevel="1" x14ac:dyDescent="0.35">
      <c r="A7" s="6" t="s">
        <v>24</v>
      </c>
      <c r="B7" s="24">
        <v>100000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</row>
    <row r="8" spans="1:83" outlineLevel="1" x14ac:dyDescent="0.35">
      <c r="A8" s="6" t="s">
        <v>25</v>
      </c>
      <c r="B8" s="24">
        <v>90000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</row>
    <row r="9" spans="1:83" outlineLevel="1" x14ac:dyDescent="0.35">
      <c r="A9" s="6" t="s">
        <v>26</v>
      </c>
      <c r="B9" s="24">
        <v>10000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</row>
    <row r="10" spans="1:83" x14ac:dyDescent="0.35">
      <c r="A10" s="8" t="s">
        <v>33</v>
      </c>
      <c r="B10" s="27">
        <f>SUM(B11:B13)</f>
        <v>300000</v>
      </c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</row>
    <row r="11" spans="1:83" outlineLevel="1" x14ac:dyDescent="0.35">
      <c r="A11" s="6" t="s">
        <v>27</v>
      </c>
      <c r="B11" s="25">
        <v>100000</v>
      </c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</row>
    <row r="12" spans="1:83" outlineLevel="1" x14ac:dyDescent="0.35">
      <c r="A12" s="6" t="s">
        <v>28</v>
      </c>
      <c r="B12" s="25">
        <v>50000</v>
      </c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</row>
    <row r="13" spans="1:83" outlineLevel="1" x14ac:dyDescent="0.35">
      <c r="A13" s="6" t="s">
        <v>29</v>
      </c>
      <c r="B13" s="25">
        <v>150000</v>
      </c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</row>
    <row r="14" spans="1:83" x14ac:dyDescent="0.35">
      <c r="A14" s="5" t="s">
        <v>1</v>
      </c>
      <c r="B14" s="28">
        <f>B3+B4+B5+B10</f>
        <v>1400000</v>
      </c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</row>
    <row r="15" spans="1:83" x14ac:dyDescent="0.35">
      <c r="A15" s="9" t="s">
        <v>31</v>
      </c>
      <c r="B15" s="23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</row>
    <row r="16" spans="1:83" x14ac:dyDescent="0.35">
      <c r="A16" s="8" t="s">
        <v>34</v>
      </c>
      <c r="B16" s="26">
        <f>SUM(B17:B25)-B27</f>
        <v>1000000</v>
      </c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</row>
    <row r="17" spans="1:83" outlineLevel="1" x14ac:dyDescent="0.35">
      <c r="A17" s="6" t="s">
        <v>6</v>
      </c>
      <c r="B17" s="29">
        <v>200000</v>
      </c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</row>
    <row r="18" spans="1:83" outlineLevel="1" x14ac:dyDescent="0.35">
      <c r="A18" s="6" t="s">
        <v>7</v>
      </c>
      <c r="B18" s="29">
        <v>140000</v>
      </c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</row>
    <row r="19" spans="1:83" outlineLevel="1" x14ac:dyDescent="0.35">
      <c r="A19" s="6" t="s">
        <v>8</v>
      </c>
      <c r="B19" s="29">
        <v>800000</v>
      </c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</row>
    <row r="20" spans="1:83" outlineLevel="1" x14ac:dyDescent="0.35">
      <c r="A20" s="6" t="s">
        <v>9</v>
      </c>
      <c r="B20" s="29">
        <v>10000</v>
      </c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</row>
    <row r="21" spans="1:83" outlineLevel="1" x14ac:dyDescent="0.35">
      <c r="A21" s="6" t="s">
        <v>10</v>
      </c>
      <c r="B21" s="29">
        <v>10000</v>
      </c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</row>
    <row r="22" spans="1:83" outlineLevel="1" x14ac:dyDescent="0.35">
      <c r="A22" s="6" t="s">
        <v>11</v>
      </c>
      <c r="B22" s="29">
        <v>10000</v>
      </c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</row>
    <row r="23" spans="1:83" outlineLevel="1" x14ac:dyDescent="0.35">
      <c r="A23" s="6" t="s">
        <v>12</v>
      </c>
      <c r="B23" s="29">
        <v>10000</v>
      </c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</row>
    <row r="24" spans="1:83" outlineLevel="1" x14ac:dyDescent="0.35">
      <c r="A24" s="6" t="s">
        <v>13</v>
      </c>
      <c r="B24" s="29">
        <v>10000</v>
      </c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</row>
    <row r="25" spans="1:83" outlineLevel="1" x14ac:dyDescent="0.35">
      <c r="A25" s="6" t="s">
        <v>14</v>
      </c>
      <c r="B25" s="29">
        <v>10000</v>
      </c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</row>
    <row r="26" spans="1:83" outlineLevel="1" x14ac:dyDescent="0.35">
      <c r="A26" s="22" t="s">
        <v>15</v>
      </c>
      <c r="B26" s="30">
        <f>SUM(B17:B25)</f>
        <v>1200000</v>
      </c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</row>
    <row r="27" spans="1:83" outlineLevel="1" x14ac:dyDescent="0.35">
      <c r="A27" s="6" t="s">
        <v>16</v>
      </c>
      <c r="B27" s="29">
        <v>200000</v>
      </c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</row>
    <row r="28" spans="1:83" x14ac:dyDescent="0.35">
      <c r="A28" s="6" t="s">
        <v>17</v>
      </c>
      <c r="B28" s="24">
        <v>50000</v>
      </c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</row>
    <row r="29" spans="1:83" x14ac:dyDescent="0.35">
      <c r="A29" s="6" t="s">
        <v>3</v>
      </c>
      <c r="B29" s="24">
        <v>20000</v>
      </c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  <c r="CD29" s="34"/>
      <c r="CE29" s="34"/>
    </row>
    <row r="30" spans="1:83" x14ac:dyDescent="0.35">
      <c r="A30" s="8" t="s">
        <v>35</v>
      </c>
      <c r="B30" s="26">
        <f>SUM(B31:B35)</f>
        <v>330000</v>
      </c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</row>
    <row r="31" spans="1:83" outlineLevel="1" x14ac:dyDescent="0.35">
      <c r="A31" s="6" t="s">
        <v>4</v>
      </c>
      <c r="B31" s="31">
        <v>100000</v>
      </c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</row>
    <row r="32" spans="1:83" outlineLevel="1" x14ac:dyDescent="0.35">
      <c r="A32" s="6" t="s">
        <v>18</v>
      </c>
      <c r="B32" s="31">
        <f>(250-70)*1000</f>
        <v>180000</v>
      </c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</row>
    <row r="33" spans="1:83" outlineLevel="1" x14ac:dyDescent="0.35">
      <c r="A33" s="6" t="s">
        <v>19</v>
      </c>
      <c r="B33" s="31">
        <v>20000</v>
      </c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</row>
    <row r="34" spans="1:83" outlineLevel="1" x14ac:dyDescent="0.35">
      <c r="A34" s="6" t="s">
        <v>36</v>
      </c>
      <c r="B34" s="31">
        <v>10000</v>
      </c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</row>
    <row r="35" spans="1:83" outlineLevel="1" x14ac:dyDescent="0.35">
      <c r="A35" s="6" t="s">
        <v>20</v>
      </c>
      <c r="B35" s="31">
        <v>20000</v>
      </c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  <c r="BV35" s="34"/>
      <c r="BW35" s="34"/>
      <c r="BX35" s="34"/>
      <c r="BY35" s="34"/>
      <c r="BZ35" s="34"/>
      <c r="CA35" s="34"/>
      <c r="CB35" s="34"/>
      <c r="CC35" s="34"/>
      <c r="CD35" s="34"/>
      <c r="CE35" s="34"/>
    </row>
    <row r="36" spans="1:83" x14ac:dyDescent="0.35">
      <c r="A36" s="22" t="s">
        <v>0</v>
      </c>
      <c r="B36" s="28">
        <f>B16+B28+B29+B30</f>
        <v>1400000</v>
      </c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</row>
    <row r="37" spans="1:83" x14ac:dyDescent="0.35">
      <c r="A37" s="34"/>
      <c r="B37" s="35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  <c r="BU37" s="34"/>
      <c r="BV37" s="34"/>
      <c r="BW37" s="34"/>
      <c r="BX37" s="34"/>
      <c r="BY37" s="34"/>
      <c r="BZ37" s="34"/>
      <c r="CA37" s="34"/>
      <c r="CB37" s="34"/>
      <c r="CC37" s="34"/>
      <c r="CD37" s="34"/>
      <c r="CE37" s="34"/>
    </row>
    <row r="38" spans="1:83" x14ac:dyDescent="0.35">
      <c r="A38" s="1" t="s">
        <v>2</v>
      </c>
      <c r="B38" s="33">
        <f>B31+B32-B11</f>
        <v>180000</v>
      </c>
      <c r="O38" s="34"/>
    </row>
    <row r="39" spans="1:83" x14ac:dyDescent="0.35">
      <c r="A39" s="34"/>
      <c r="B39" s="35"/>
      <c r="O39" s="34"/>
    </row>
    <row r="40" spans="1:83" x14ac:dyDescent="0.35">
      <c r="A40" s="34"/>
      <c r="B40" s="35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</row>
    <row r="41" spans="1:83" x14ac:dyDescent="0.35">
      <c r="A41" s="34"/>
      <c r="B41" s="35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</row>
    <row r="42" spans="1:83" x14ac:dyDescent="0.35">
      <c r="A42" s="34"/>
      <c r="B42" s="35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</row>
    <row r="43" spans="1:83" x14ac:dyDescent="0.35">
      <c r="A43" s="34"/>
      <c r="B43" s="35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</row>
    <row r="44" spans="1:83" x14ac:dyDescent="0.35">
      <c r="A44" s="34"/>
      <c r="B44" s="35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</row>
    <row r="45" spans="1:83" x14ac:dyDescent="0.35">
      <c r="A45" s="34"/>
      <c r="B45" s="35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</row>
    <row r="46" spans="1:83" x14ac:dyDescent="0.35">
      <c r="A46" s="34"/>
      <c r="B46" s="35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</row>
    <row r="47" spans="1:83" x14ac:dyDescent="0.35">
      <c r="A47" s="34"/>
      <c r="B47" s="35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</row>
    <row r="48" spans="1:83" x14ac:dyDescent="0.35">
      <c r="A48" s="34"/>
      <c r="B48" s="35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</row>
    <row r="49" spans="1:51" x14ac:dyDescent="0.35">
      <c r="A49" s="34"/>
      <c r="B49" s="35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</row>
    <row r="50" spans="1:51" x14ac:dyDescent="0.35">
      <c r="A50" s="34"/>
      <c r="B50" s="35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</row>
    <row r="51" spans="1:51" x14ac:dyDescent="0.35">
      <c r="A51" s="34"/>
      <c r="B51" s="35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</row>
    <row r="52" spans="1:51" x14ac:dyDescent="0.35">
      <c r="A52" s="34"/>
      <c r="B52" s="35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</row>
    <row r="53" spans="1:51" x14ac:dyDescent="0.35">
      <c r="A53" s="34"/>
      <c r="B53" s="35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</row>
    <row r="54" spans="1:51" x14ac:dyDescent="0.35">
      <c r="A54" s="34"/>
      <c r="B54" s="35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</row>
    <row r="55" spans="1:51" x14ac:dyDescent="0.35">
      <c r="A55" s="34"/>
      <c r="B55" s="35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</row>
    <row r="56" spans="1:51" x14ac:dyDescent="0.35">
      <c r="A56" s="34"/>
      <c r="B56" s="35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</row>
    <row r="57" spans="1:51" x14ac:dyDescent="0.35">
      <c r="A57" s="34"/>
      <c r="B57" s="35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</row>
    <row r="58" spans="1:51" x14ac:dyDescent="0.35">
      <c r="A58" s="34"/>
      <c r="B58" s="35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</row>
    <row r="59" spans="1:51" x14ac:dyDescent="0.35">
      <c r="A59" s="34"/>
      <c r="B59" s="35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</row>
    <row r="60" spans="1:51" x14ac:dyDescent="0.35">
      <c r="A60" s="34"/>
      <c r="B60" s="35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</row>
    <row r="61" spans="1:51" x14ac:dyDescent="0.35">
      <c r="A61" s="34"/>
      <c r="B61" s="35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</row>
    <row r="62" spans="1:51" x14ac:dyDescent="0.35">
      <c r="A62" s="34"/>
      <c r="B62" s="35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</row>
    <row r="63" spans="1:51" x14ac:dyDescent="0.35">
      <c r="A63" s="34"/>
      <c r="B63" s="35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</row>
    <row r="64" spans="1:51" x14ac:dyDescent="0.35">
      <c r="A64" s="34"/>
      <c r="B64" s="35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</row>
    <row r="65" spans="1:51" x14ac:dyDescent="0.35">
      <c r="A65" s="34"/>
      <c r="B65" s="35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</row>
    <row r="66" spans="1:51" x14ac:dyDescent="0.35">
      <c r="A66" s="34"/>
      <c r="B66" s="35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</row>
    <row r="67" spans="1:51" x14ac:dyDescent="0.35">
      <c r="A67" s="34"/>
      <c r="B67" s="35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</row>
    <row r="68" spans="1:51" x14ac:dyDescent="0.35">
      <c r="A68" s="34"/>
      <c r="B68" s="35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</row>
    <row r="69" spans="1:51" x14ac:dyDescent="0.35">
      <c r="A69" s="34"/>
      <c r="B69" s="35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</row>
    <row r="70" spans="1:51" x14ac:dyDescent="0.35">
      <c r="A70" s="34"/>
      <c r="B70" s="35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</row>
    <row r="71" spans="1:51" x14ac:dyDescent="0.35">
      <c r="A71" s="34"/>
      <c r="B71" s="35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</row>
    <row r="72" spans="1:51" x14ac:dyDescent="0.35">
      <c r="A72" s="34"/>
      <c r="B72" s="35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</row>
    <row r="73" spans="1:51" x14ac:dyDescent="0.35">
      <c r="A73" s="34"/>
      <c r="B73" s="35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</row>
    <row r="74" spans="1:51" x14ac:dyDescent="0.35">
      <c r="A74" s="34"/>
      <c r="B74" s="35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</row>
    <row r="75" spans="1:51" x14ac:dyDescent="0.35">
      <c r="A75" s="34"/>
      <c r="B75" s="35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</row>
    <row r="76" spans="1:51" x14ac:dyDescent="0.35">
      <c r="A76" s="34"/>
      <c r="B76" s="35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</row>
    <row r="77" spans="1:51" x14ac:dyDescent="0.35">
      <c r="A77" s="34"/>
      <c r="B77" s="35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</row>
    <row r="78" spans="1:51" x14ac:dyDescent="0.35">
      <c r="A78" s="34"/>
      <c r="B78" s="35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</row>
    <row r="79" spans="1:51" x14ac:dyDescent="0.35">
      <c r="A79" s="34"/>
      <c r="B79" s="35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</row>
    <row r="80" spans="1:51" x14ac:dyDescent="0.35">
      <c r="A80" s="34"/>
      <c r="B80" s="35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</row>
    <row r="81" spans="1:51" x14ac:dyDescent="0.35">
      <c r="A81" s="34"/>
      <c r="B81" s="35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</row>
    <row r="82" spans="1:51" x14ac:dyDescent="0.35">
      <c r="A82" s="34"/>
      <c r="B82" s="35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</row>
    <row r="83" spans="1:51" x14ac:dyDescent="0.35">
      <c r="A83" s="34"/>
      <c r="B83" s="35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</row>
    <row r="84" spans="1:51" x14ac:dyDescent="0.35">
      <c r="A84" s="34"/>
      <c r="B84" s="35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</row>
    <row r="85" spans="1:51" x14ac:dyDescent="0.35">
      <c r="A85" s="34"/>
      <c r="B85" s="35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</row>
    <row r="86" spans="1:51" x14ac:dyDescent="0.35">
      <c r="A86" s="34"/>
      <c r="B86" s="35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</row>
    <row r="87" spans="1:51" x14ac:dyDescent="0.35">
      <c r="A87" s="34"/>
      <c r="B87" s="35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</row>
    <row r="88" spans="1:51" x14ac:dyDescent="0.35">
      <c r="A88" s="34"/>
      <c r="B88" s="35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</row>
    <row r="89" spans="1:51" x14ac:dyDescent="0.35">
      <c r="A89" s="34"/>
      <c r="B89" s="35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</row>
    <row r="90" spans="1:51" x14ac:dyDescent="0.35">
      <c r="A90" s="34"/>
      <c r="B90" s="35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</row>
    <row r="91" spans="1:51" x14ac:dyDescent="0.35">
      <c r="A91" s="34"/>
      <c r="B91" s="35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</row>
    <row r="92" spans="1:51" x14ac:dyDescent="0.35">
      <c r="A92" s="34"/>
      <c r="B92" s="35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</row>
    <row r="93" spans="1:51" x14ac:dyDescent="0.35">
      <c r="A93" s="34"/>
      <c r="B93" s="35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</row>
    <row r="94" spans="1:51" x14ac:dyDescent="0.35">
      <c r="A94" s="34"/>
      <c r="B94" s="35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</row>
    <row r="95" spans="1:51" x14ac:dyDescent="0.35">
      <c r="A95" s="34"/>
      <c r="B95" s="35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</row>
    <row r="96" spans="1:51" x14ac:dyDescent="0.35">
      <c r="A96" s="34"/>
      <c r="B96" s="35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</row>
    <row r="97" spans="1:51" x14ac:dyDescent="0.35">
      <c r="A97" s="34"/>
      <c r="B97" s="35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</row>
    <row r="98" spans="1:51" x14ac:dyDescent="0.35">
      <c r="A98" s="34"/>
      <c r="B98" s="35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</row>
    <row r="99" spans="1:51" x14ac:dyDescent="0.35">
      <c r="A99" s="34"/>
      <c r="B99" s="35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</row>
    <row r="100" spans="1:51" x14ac:dyDescent="0.35">
      <c r="A100" s="34"/>
      <c r="B100" s="35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</row>
    <row r="101" spans="1:51" x14ac:dyDescent="0.35">
      <c r="A101" s="34"/>
      <c r="B101" s="35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</row>
    <row r="102" spans="1:51" x14ac:dyDescent="0.35">
      <c r="A102" s="34"/>
      <c r="B102" s="35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</row>
    <row r="103" spans="1:51" x14ac:dyDescent="0.35">
      <c r="A103" s="34"/>
      <c r="B103" s="35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</row>
    <row r="104" spans="1:51" x14ac:dyDescent="0.35">
      <c r="A104" s="34"/>
      <c r="B104" s="35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</row>
    <row r="105" spans="1:51" x14ac:dyDescent="0.35">
      <c r="A105" s="34"/>
      <c r="B105" s="35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</row>
    <row r="106" spans="1:51" x14ac:dyDescent="0.35">
      <c r="A106" s="34"/>
      <c r="B106" s="35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</row>
    <row r="107" spans="1:51" x14ac:dyDescent="0.35">
      <c r="A107" s="34"/>
      <c r="B107" s="35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</row>
    <row r="108" spans="1:51" x14ac:dyDescent="0.35">
      <c r="A108" s="34"/>
      <c r="B108" s="35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</row>
    <row r="109" spans="1:51" x14ac:dyDescent="0.35">
      <c r="A109" s="34"/>
      <c r="B109" s="35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</row>
    <row r="110" spans="1:51" x14ac:dyDescent="0.35">
      <c r="A110" s="34"/>
      <c r="B110" s="35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</row>
    <row r="111" spans="1:51" x14ac:dyDescent="0.35">
      <c r="A111" s="34"/>
      <c r="B111" s="35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</row>
    <row r="112" spans="1:51" x14ac:dyDescent="0.35">
      <c r="A112" s="34"/>
      <c r="B112" s="35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</row>
    <row r="113" spans="1:51" x14ac:dyDescent="0.35">
      <c r="A113" s="34"/>
      <c r="B113" s="35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</row>
    <row r="114" spans="1:51" x14ac:dyDescent="0.35">
      <c r="A114" s="34"/>
      <c r="B114" s="35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34"/>
    </row>
    <row r="115" spans="1:51" x14ac:dyDescent="0.35">
      <c r="A115" s="34"/>
      <c r="B115" s="35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</row>
    <row r="116" spans="1:51" x14ac:dyDescent="0.35">
      <c r="A116" s="34"/>
      <c r="B116" s="35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</row>
    <row r="117" spans="1:51" x14ac:dyDescent="0.35">
      <c r="A117" s="34"/>
      <c r="B117" s="35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</row>
    <row r="118" spans="1:51" x14ac:dyDescent="0.35">
      <c r="A118" s="34"/>
      <c r="B118" s="35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</row>
    <row r="119" spans="1:51" x14ac:dyDescent="0.35">
      <c r="A119" s="34"/>
      <c r="B119" s="35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</row>
    <row r="120" spans="1:51" x14ac:dyDescent="0.35">
      <c r="A120" s="34"/>
      <c r="B120" s="35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</row>
    <row r="121" spans="1:51" x14ac:dyDescent="0.35">
      <c r="A121" s="34"/>
      <c r="B121" s="35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</row>
    <row r="122" spans="1:51" x14ac:dyDescent="0.35">
      <c r="A122" s="34"/>
      <c r="B122" s="35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</row>
    <row r="123" spans="1:51" x14ac:dyDescent="0.35">
      <c r="A123" s="34"/>
      <c r="B123" s="35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</row>
    <row r="124" spans="1:51" x14ac:dyDescent="0.35">
      <c r="A124" s="34"/>
      <c r="B124" s="35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</row>
    <row r="125" spans="1:51" x14ac:dyDescent="0.35">
      <c r="A125" s="34"/>
      <c r="B125" s="35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</row>
    <row r="126" spans="1:51" x14ac:dyDescent="0.35">
      <c r="A126" s="34"/>
      <c r="B126" s="35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</row>
    <row r="127" spans="1:51" x14ac:dyDescent="0.35">
      <c r="A127" s="34"/>
      <c r="B127" s="35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</row>
    <row r="128" spans="1:51" x14ac:dyDescent="0.35">
      <c r="A128" s="34"/>
      <c r="B128" s="35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</row>
    <row r="129" spans="1:51" x14ac:dyDescent="0.35">
      <c r="A129" s="34"/>
      <c r="B129" s="35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</row>
    <row r="130" spans="1:51" x14ac:dyDescent="0.35">
      <c r="A130" s="34"/>
      <c r="B130" s="35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</row>
    <row r="131" spans="1:51" x14ac:dyDescent="0.35">
      <c r="A131" s="34"/>
      <c r="B131" s="35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</row>
    <row r="132" spans="1:51" x14ac:dyDescent="0.35">
      <c r="A132" s="34"/>
      <c r="B132" s="35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</row>
    <row r="133" spans="1:51" x14ac:dyDescent="0.35">
      <c r="A133" s="34"/>
      <c r="B133" s="35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</row>
    <row r="134" spans="1:51" x14ac:dyDescent="0.35">
      <c r="A134" s="34"/>
      <c r="B134" s="35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</row>
    <row r="135" spans="1:51" x14ac:dyDescent="0.35">
      <c r="A135" s="34"/>
      <c r="B135" s="35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</row>
    <row r="136" spans="1:51" x14ac:dyDescent="0.35">
      <c r="A136" s="34"/>
      <c r="B136" s="35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</row>
    <row r="137" spans="1:51" x14ac:dyDescent="0.35">
      <c r="A137" s="34"/>
      <c r="B137" s="35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</row>
    <row r="138" spans="1:51" x14ac:dyDescent="0.35">
      <c r="A138" s="34"/>
      <c r="B138" s="35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</row>
    <row r="139" spans="1:51" x14ac:dyDescent="0.35">
      <c r="A139" s="34"/>
      <c r="B139" s="35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P&amp;L</vt:lpstr>
      <vt:lpstr>Notes to P&amp;L</vt:lpstr>
      <vt:lpstr>Sheet1</vt:lpstr>
      <vt:lpstr>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Rachamalla, Lakshmi Narayana</dc:creator>
  <cp:lastModifiedBy>Rachamalla, Lakshmi Narayana</cp:lastModifiedBy>
  <dcterms:created xsi:type="dcterms:W3CDTF">2026-03-24T07:15:31Z</dcterms:created>
  <dcterms:modified xsi:type="dcterms:W3CDTF">2026-03-27T05:48:27Z</dcterms:modified>
</cp:coreProperties>
</file>